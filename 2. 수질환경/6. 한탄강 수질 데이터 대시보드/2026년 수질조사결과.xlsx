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업무\한탄강\수질데이터\"/>
    </mc:Choice>
  </mc:AlternateContent>
  <xr:revisionPtr revIDLastSave="0" documentId="13_ncr:1_{6A10BA45-1F91-42EB-8CB8-021E7473EDFE}" xr6:coauthVersionLast="47" xr6:coauthVersionMax="47" xr10:uidLastSave="{00000000-0000-0000-0000-000000000000}"/>
  <bookViews>
    <workbookView xWindow="-120" yWindow="-120" windowWidth="29040" windowHeight="15720" tabRatio="851" firstSheet="1" activeTab="14" xr2:uid="{00000000-000D-0000-FFFF-FFFF00000000}"/>
  </bookViews>
  <sheets>
    <sheet name="202609" sheetId="99" r:id="rId1"/>
    <sheet name="202608" sheetId="98" r:id="rId2"/>
    <sheet name="202607" sheetId="97" r:id="rId3"/>
    <sheet name="202606" sheetId="95" r:id="rId4"/>
    <sheet name="202605" sheetId="94" r:id="rId5"/>
    <sheet name="202604" sheetId="93" r:id="rId6"/>
    <sheet name="202603" sheetId="86" r:id="rId7"/>
    <sheet name="202602" sheetId="84" r:id="rId8"/>
    <sheet name="202601" sheetId="50" r:id="rId9"/>
    <sheet name="26년 월별 TOC현황" sheetId="87" r:id="rId10"/>
    <sheet name="26년 월별 BOD 현황" sheetId="89" r:id="rId11"/>
    <sheet name="26년 월별 SS현황" sheetId="88" r:id="rId12"/>
    <sheet name="26년 월별 TN 현황" sheetId="90" r:id="rId13"/>
    <sheet name="26년 월별 TP 현황" sheetId="91" r:id="rId14"/>
    <sheet name="26년 월별 색도현황" sheetId="83" r:id="rId15"/>
    <sheet name="연도별 평균색도" sheetId="92" r:id="rId16"/>
  </sheets>
  <definedNames>
    <definedName name="_xlnm._FilterDatabase" localSheetId="8" hidden="1">'202601'!$A$2:$M$39</definedName>
    <definedName name="_xlnm._FilterDatabase" localSheetId="7" hidden="1">'202602'!$A$2:$M$39</definedName>
    <definedName name="_xlnm._FilterDatabase" localSheetId="6" hidden="1">'202603'!$A$2:$M$39</definedName>
    <definedName name="_xlnm._FilterDatabase" localSheetId="5" hidden="1">'202604'!$A$2:$M$39</definedName>
    <definedName name="_xlnm._FilterDatabase" localSheetId="4" hidden="1">'202605'!$A$2:$M$39</definedName>
    <definedName name="_xlnm._FilterDatabase" localSheetId="3" hidden="1">'202606'!$A$2:$M$39</definedName>
    <definedName name="_xlnm._FilterDatabase" localSheetId="2" hidden="1">'202607'!$A$2:$M$39</definedName>
    <definedName name="_xlnm._FilterDatabase" localSheetId="1" hidden="1">'202608'!$A$2:$M$39</definedName>
    <definedName name="_xlnm._FilterDatabase" localSheetId="0" hidden="1">'202609'!$A$2:$M$39</definedName>
    <definedName name="_xlnm._FilterDatabase" localSheetId="10" hidden="1">'26년 월별 BOD 현황'!$A$2:$T$38</definedName>
    <definedName name="_xlnm._FilterDatabase" localSheetId="11" hidden="1">'26년 월별 SS현황'!$A$2:$T$38</definedName>
    <definedName name="_xlnm._FilterDatabase" localSheetId="12" hidden="1">'26년 월별 TN 현황'!$A$2:$T$38</definedName>
    <definedName name="_xlnm._FilterDatabase" localSheetId="9" hidden="1">'26년 월별 TOC현황'!$A$2:$T$38</definedName>
    <definedName name="_xlnm._FilterDatabase" localSheetId="13" hidden="1">'26년 월별 TP 현황'!$A$2:$T$38</definedName>
    <definedName name="_xlnm._FilterDatabase" localSheetId="14" hidden="1">'26년 월별 색도현황'!$A$2:$T$38</definedName>
    <definedName name="_xlnm._FilterDatabase" localSheetId="15" hidden="1">'연도별 평균색도'!$A$2:$I$71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83" l="1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8" i="83"/>
  <c r="M29" i="83"/>
  <c r="M30" i="83"/>
  <c r="M31" i="83"/>
  <c r="M32" i="83"/>
  <c r="M33" i="83"/>
  <c r="M34" i="83"/>
  <c r="M35" i="83"/>
  <c r="M36" i="83"/>
  <c r="M37" i="83"/>
  <c r="M38" i="83"/>
  <c r="M39" i="83"/>
  <c r="M3" i="83"/>
  <c r="L3" i="83"/>
  <c r="M4" i="91"/>
  <c r="M5" i="91"/>
  <c r="M6" i="91"/>
  <c r="M7" i="91"/>
  <c r="M8" i="91"/>
  <c r="M9" i="91"/>
  <c r="M10" i="91"/>
  <c r="M11" i="91"/>
  <c r="M12" i="91"/>
  <c r="M13" i="91"/>
  <c r="M14" i="91"/>
  <c r="M15" i="91"/>
  <c r="M16" i="91"/>
  <c r="M17" i="91"/>
  <c r="M18" i="91"/>
  <c r="M19" i="91"/>
  <c r="M20" i="91"/>
  <c r="M21" i="91"/>
  <c r="M22" i="91"/>
  <c r="M23" i="91"/>
  <c r="M24" i="91"/>
  <c r="M25" i="91"/>
  <c r="M26" i="91"/>
  <c r="M27" i="91"/>
  <c r="M28" i="91"/>
  <c r="M29" i="91"/>
  <c r="M30" i="91"/>
  <c r="M31" i="91"/>
  <c r="M32" i="91"/>
  <c r="M33" i="91"/>
  <c r="M34" i="91"/>
  <c r="M35" i="91"/>
  <c r="M36" i="91"/>
  <c r="M37" i="91"/>
  <c r="M38" i="91"/>
  <c r="M39" i="91"/>
  <c r="M3" i="91"/>
  <c r="L3" i="91"/>
  <c r="M4" i="90"/>
  <c r="M5" i="90"/>
  <c r="M6" i="90"/>
  <c r="M7" i="90"/>
  <c r="M8" i="90"/>
  <c r="M9" i="90"/>
  <c r="M10" i="90"/>
  <c r="M11" i="90"/>
  <c r="M12" i="90"/>
  <c r="M13" i="90"/>
  <c r="M14" i="90"/>
  <c r="M15" i="90"/>
  <c r="M16" i="90"/>
  <c r="M17" i="90"/>
  <c r="M18" i="90"/>
  <c r="M19" i="90"/>
  <c r="M20" i="90"/>
  <c r="M21" i="90"/>
  <c r="M22" i="90"/>
  <c r="M23" i="90"/>
  <c r="M24" i="90"/>
  <c r="M25" i="90"/>
  <c r="M26" i="90"/>
  <c r="M27" i="90"/>
  <c r="M28" i="90"/>
  <c r="M29" i="90"/>
  <c r="M30" i="90"/>
  <c r="M31" i="90"/>
  <c r="M32" i="90"/>
  <c r="M33" i="90"/>
  <c r="M34" i="90"/>
  <c r="M35" i="90"/>
  <c r="M36" i="90"/>
  <c r="M37" i="90"/>
  <c r="M38" i="90"/>
  <c r="M39" i="90"/>
  <c r="M3" i="90"/>
  <c r="L3" i="90"/>
  <c r="M4" i="88"/>
  <c r="M5" i="88"/>
  <c r="M6" i="88"/>
  <c r="M7" i="88"/>
  <c r="M8" i="88"/>
  <c r="M9" i="88"/>
  <c r="M10" i="88"/>
  <c r="M11" i="88"/>
  <c r="M12" i="88"/>
  <c r="M13" i="88"/>
  <c r="M14" i="88"/>
  <c r="M15" i="88"/>
  <c r="M16" i="88"/>
  <c r="M17" i="88"/>
  <c r="M18" i="88"/>
  <c r="M19" i="88"/>
  <c r="M20" i="88"/>
  <c r="M21" i="88"/>
  <c r="M22" i="88"/>
  <c r="M23" i="88"/>
  <c r="M24" i="88"/>
  <c r="M25" i="88"/>
  <c r="M26" i="88"/>
  <c r="M27" i="88"/>
  <c r="M28" i="88"/>
  <c r="M29" i="88"/>
  <c r="M30" i="88"/>
  <c r="M31" i="88"/>
  <c r="M32" i="88"/>
  <c r="M33" i="88"/>
  <c r="M34" i="88"/>
  <c r="M35" i="88"/>
  <c r="M36" i="88"/>
  <c r="M37" i="88"/>
  <c r="M38" i="88"/>
  <c r="M39" i="88"/>
  <c r="M3" i="88"/>
  <c r="L3" i="88"/>
  <c r="M4" i="89"/>
  <c r="M5" i="89"/>
  <c r="M6" i="89"/>
  <c r="M7" i="89"/>
  <c r="M8" i="89"/>
  <c r="M9" i="89"/>
  <c r="M10" i="89"/>
  <c r="M11" i="89"/>
  <c r="M12" i="89"/>
  <c r="M13" i="89"/>
  <c r="M14" i="89"/>
  <c r="M15" i="89"/>
  <c r="M16" i="89"/>
  <c r="M17" i="89"/>
  <c r="M18" i="89"/>
  <c r="M19" i="89"/>
  <c r="M20" i="89"/>
  <c r="M21" i="89"/>
  <c r="M22" i="89"/>
  <c r="M23" i="89"/>
  <c r="M24" i="89"/>
  <c r="M25" i="89"/>
  <c r="M26" i="89"/>
  <c r="M27" i="89"/>
  <c r="M28" i="89"/>
  <c r="M29" i="89"/>
  <c r="M30" i="89"/>
  <c r="M31" i="89"/>
  <c r="M32" i="89"/>
  <c r="M33" i="89"/>
  <c r="M34" i="89"/>
  <c r="M35" i="89"/>
  <c r="M36" i="89"/>
  <c r="M37" i="89"/>
  <c r="M38" i="89"/>
  <c r="M39" i="89"/>
  <c r="M3" i="89"/>
  <c r="M4" i="87"/>
  <c r="M5" i="87"/>
  <c r="M6" i="87"/>
  <c r="M7" i="87"/>
  <c r="M8" i="87"/>
  <c r="M9" i="87"/>
  <c r="M10" i="87"/>
  <c r="M11" i="87"/>
  <c r="M12" i="87"/>
  <c r="M13" i="87"/>
  <c r="M14" i="87"/>
  <c r="M15" i="87"/>
  <c r="M16" i="87"/>
  <c r="M17" i="87"/>
  <c r="M18" i="87"/>
  <c r="M19" i="87"/>
  <c r="M20" i="87"/>
  <c r="M21" i="87"/>
  <c r="M22" i="87"/>
  <c r="M23" i="87"/>
  <c r="M24" i="87"/>
  <c r="M25" i="87"/>
  <c r="M26" i="87"/>
  <c r="M27" i="87"/>
  <c r="M28" i="87"/>
  <c r="M29" i="87"/>
  <c r="M30" i="87"/>
  <c r="M31" i="87"/>
  <c r="M32" i="87"/>
  <c r="M33" i="87"/>
  <c r="M34" i="87"/>
  <c r="M35" i="87"/>
  <c r="M36" i="87"/>
  <c r="M37" i="87"/>
  <c r="M38" i="87"/>
  <c r="M39" i="87"/>
  <c r="M3" i="87"/>
  <c r="M39" i="99"/>
  <c r="M38" i="99"/>
  <c r="M37" i="99"/>
  <c r="M36" i="99"/>
  <c r="M35" i="99"/>
  <c r="M34" i="99"/>
  <c r="M33" i="99"/>
  <c r="M32" i="99"/>
  <c r="M31" i="99"/>
  <c r="M30" i="99"/>
  <c r="M29" i="99"/>
  <c r="M28" i="99"/>
  <c r="M27" i="99"/>
  <c r="M26" i="99"/>
  <c r="M25" i="99"/>
  <c r="M24" i="99"/>
  <c r="M23" i="99"/>
  <c r="M22" i="99"/>
  <c r="M21" i="99"/>
  <c r="M20" i="99"/>
  <c r="M19" i="99"/>
  <c r="M18" i="99"/>
  <c r="M17" i="99"/>
  <c r="M16" i="99"/>
  <c r="M15" i="99"/>
  <c r="M14" i="99"/>
  <c r="M13" i="99"/>
  <c r="M12" i="99"/>
  <c r="M11" i="99"/>
  <c r="M10" i="99"/>
  <c r="M9" i="99"/>
  <c r="M8" i="99"/>
  <c r="M7" i="99"/>
  <c r="M6" i="99"/>
  <c r="M5" i="99"/>
  <c r="M4" i="99"/>
  <c r="M3" i="99"/>
  <c r="L4" i="83" l="1"/>
  <c r="L5" i="83"/>
  <c r="L6" i="83"/>
  <c r="L7" i="83"/>
  <c r="L8" i="83"/>
  <c r="L9" i="83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L35" i="83"/>
  <c r="L36" i="83"/>
  <c r="L37" i="83"/>
  <c r="L38" i="83"/>
  <c r="L39" i="83"/>
  <c r="L4" i="91"/>
  <c r="L5" i="91"/>
  <c r="L6" i="91"/>
  <c r="L7" i="91"/>
  <c r="L8" i="91"/>
  <c r="L9" i="91"/>
  <c r="L10" i="91"/>
  <c r="L11" i="91"/>
  <c r="L12" i="91"/>
  <c r="L13" i="91"/>
  <c r="L14" i="91"/>
  <c r="L15" i="91"/>
  <c r="L16" i="91"/>
  <c r="L17" i="91"/>
  <c r="L18" i="91"/>
  <c r="L19" i="91"/>
  <c r="L20" i="91"/>
  <c r="L21" i="91"/>
  <c r="L22" i="91"/>
  <c r="L23" i="91"/>
  <c r="L24" i="91"/>
  <c r="L25" i="91"/>
  <c r="L26" i="91"/>
  <c r="L27" i="91"/>
  <c r="L28" i="91"/>
  <c r="L29" i="91"/>
  <c r="L30" i="91"/>
  <c r="L31" i="91"/>
  <c r="L32" i="91"/>
  <c r="L33" i="91"/>
  <c r="L34" i="91"/>
  <c r="L35" i="91"/>
  <c r="L36" i="91"/>
  <c r="L37" i="91"/>
  <c r="L38" i="91"/>
  <c r="L39" i="91"/>
  <c r="L4" i="90"/>
  <c r="L5" i="90"/>
  <c r="L6" i="90"/>
  <c r="L7" i="90"/>
  <c r="L8" i="90"/>
  <c r="L9" i="90"/>
  <c r="L10" i="90"/>
  <c r="L11" i="90"/>
  <c r="L12" i="90"/>
  <c r="L13" i="90"/>
  <c r="L14" i="90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4" i="88"/>
  <c r="L5" i="88"/>
  <c r="L6" i="88"/>
  <c r="L7" i="88"/>
  <c r="L8" i="88"/>
  <c r="L9" i="88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L32" i="88"/>
  <c r="L33" i="88"/>
  <c r="L34" i="88"/>
  <c r="L35" i="88"/>
  <c r="L36" i="88"/>
  <c r="L37" i="88"/>
  <c r="L38" i="88"/>
  <c r="L39" i="88"/>
  <c r="L4" i="89"/>
  <c r="L5" i="89"/>
  <c r="L6" i="89"/>
  <c r="L7" i="89"/>
  <c r="L8" i="89"/>
  <c r="L9" i="89"/>
  <c r="L10" i="89"/>
  <c r="L11" i="89"/>
  <c r="L12" i="89"/>
  <c r="L13" i="89"/>
  <c r="L14" i="89"/>
  <c r="L15" i="89"/>
  <c r="L16" i="89"/>
  <c r="L17" i="89"/>
  <c r="L18" i="89"/>
  <c r="L19" i="89"/>
  <c r="L20" i="89"/>
  <c r="L21" i="89"/>
  <c r="L22" i="89"/>
  <c r="L23" i="89"/>
  <c r="L24" i="89"/>
  <c r="L25" i="89"/>
  <c r="L26" i="89"/>
  <c r="L27" i="89"/>
  <c r="L28" i="89"/>
  <c r="L29" i="89"/>
  <c r="L30" i="89"/>
  <c r="L31" i="89"/>
  <c r="L32" i="89"/>
  <c r="L33" i="89"/>
  <c r="L34" i="89"/>
  <c r="L35" i="89"/>
  <c r="L36" i="89"/>
  <c r="L37" i="89"/>
  <c r="L38" i="89"/>
  <c r="L39" i="89"/>
  <c r="L3" i="89"/>
  <c r="L4" i="87"/>
  <c r="L5" i="87"/>
  <c r="L6" i="87"/>
  <c r="L7" i="87"/>
  <c r="L8" i="87"/>
  <c r="L9" i="87"/>
  <c r="L10" i="87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38" i="87"/>
  <c r="L39" i="87"/>
  <c r="L3" i="87"/>
  <c r="M39" i="98"/>
  <c r="M38" i="98"/>
  <c r="M37" i="98"/>
  <c r="M36" i="98"/>
  <c r="M35" i="98"/>
  <c r="M34" i="98"/>
  <c r="M33" i="98"/>
  <c r="M32" i="98"/>
  <c r="M31" i="98"/>
  <c r="M30" i="98"/>
  <c r="M29" i="98"/>
  <c r="M28" i="98"/>
  <c r="M27" i="98"/>
  <c r="M26" i="98"/>
  <c r="M25" i="98"/>
  <c r="M24" i="98"/>
  <c r="M23" i="98"/>
  <c r="M22" i="98"/>
  <c r="M21" i="98"/>
  <c r="M20" i="98"/>
  <c r="M19" i="98"/>
  <c r="M18" i="98"/>
  <c r="M17" i="98"/>
  <c r="M16" i="98"/>
  <c r="M15" i="98"/>
  <c r="M14" i="98"/>
  <c r="M13" i="98"/>
  <c r="M12" i="98"/>
  <c r="M11" i="98"/>
  <c r="M10" i="98"/>
  <c r="M9" i="98"/>
  <c r="M8" i="98"/>
  <c r="M7" i="98"/>
  <c r="M6" i="98"/>
  <c r="M5" i="98"/>
  <c r="M4" i="98"/>
  <c r="M3" i="98"/>
  <c r="K4" i="83"/>
  <c r="K5" i="83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3" i="83"/>
  <c r="K4" i="91"/>
  <c r="K5" i="91"/>
  <c r="K6" i="91"/>
  <c r="K7" i="91"/>
  <c r="K8" i="91"/>
  <c r="K9" i="91"/>
  <c r="K10" i="91"/>
  <c r="K11" i="91"/>
  <c r="K12" i="91"/>
  <c r="K13" i="91"/>
  <c r="K14" i="91"/>
  <c r="K15" i="91"/>
  <c r="K16" i="91"/>
  <c r="K17" i="91"/>
  <c r="K18" i="91"/>
  <c r="K19" i="91"/>
  <c r="K20" i="91"/>
  <c r="K21" i="91"/>
  <c r="K22" i="91"/>
  <c r="K23" i="91"/>
  <c r="K24" i="91"/>
  <c r="K25" i="91"/>
  <c r="K26" i="91"/>
  <c r="K27" i="91"/>
  <c r="K28" i="91"/>
  <c r="K29" i="91"/>
  <c r="K30" i="91"/>
  <c r="K31" i="91"/>
  <c r="K32" i="91"/>
  <c r="K33" i="91"/>
  <c r="K34" i="91"/>
  <c r="K35" i="91"/>
  <c r="K36" i="91"/>
  <c r="K37" i="91"/>
  <c r="K38" i="91"/>
  <c r="K39" i="91"/>
  <c r="K3" i="91"/>
  <c r="K4" i="90"/>
  <c r="K5" i="90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K34" i="90"/>
  <c r="K35" i="90"/>
  <c r="K36" i="90"/>
  <c r="K37" i="90"/>
  <c r="K38" i="90"/>
  <c r="K39" i="90"/>
  <c r="K3" i="90"/>
  <c r="K4" i="88"/>
  <c r="K5" i="88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K32" i="88"/>
  <c r="K33" i="88"/>
  <c r="K34" i="88"/>
  <c r="K35" i="88"/>
  <c r="K36" i="88"/>
  <c r="K37" i="88"/>
  <c r="K38" i="88"/>
  <c r="K39" i="88"/>
  <c r="K3" i="88"/>
  <c r="K4" i="89"/>
  <c r="K5" i="89"/>
  <c r="K6" i="89"/>
  <c r="K7" i="89"/>
  <c r="K8" i="89"/>
  <c r="K9" i="89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3" i="89"/>
  <c r="K4" i="87"/>
  <c r="K5" i="87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3" i="87"/>
  <c r="M39" i="97" l="1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M4" i="97"/>
  <c r="M3" i="97"/>
  <c r="S23" i="83"/>
  <c r="S28" i="83"/>
  <c r="J4" i="83"/>
  <c r="J5" i="83"/>
  <c r="J6" i="83"/>
  <c r="J7" i="83"/>
  <c r="J8" i="83"/>
  <c r="J9" i="83"/>
  <c r="J10" i="83"/>
  <c r="J11" i="83"/>
  <c r="J12" i="83"/>
  <c r="J13" i="83"/>
  <c r="J14" i="83"/>
  <c r="J15" i="83"/>
  <c r="J16" i="83"/>
  <c r="J17" i="83"/>
  <c r="J18" i="83"/>
  <c r="J19" i="83"/>
  <c r="J20" i="83"/>
  <c r="J21" i="83"/>
  <c r="J22" i="83"/>
  <c r="J23" i="83"/>
  <c r="J24" i="83"/>
  <c r="J25" i="83"/>
  <c r="J26" i="83"/>
  <c r="J27" i="83"/>
  <c r="J28" i="83"/>
  <c r="J29" i="83"/>
  <c r="J30" i="83"/>
  <c r="J31" i="83"/>
  <c r="J32" i="83"/>
  <c r="J33" i="83"/>
  <c r="J34" i="83"/>
  <c r="J35" i="83"/>
  <c r="J36" i="83"/>
  <c r="J37" i="83"/>
  <c r="J38" i="83"/>
  <c r="J39" i="83"/>
  <c r="J3" i="83"/>
  <c r="J4" i="91"/>
  <c r="J5" i="91"/>
  <c r="J6" i="91"/>
  <c r="J7" i="91"/>
  <c r="J8" i="91"/>
  <c r="J9" i="91"/>
  <c r="J10" i="91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4" i="91"/>
  <c r="J25" i="91"/>
  <c r="J26" i="91"/>
  <c r="J27" i="91"/>
  <c r="J28" i="91"/>
  <c r="J29" i="91"/>
  <c r="J30" i="91"/>
  <c r="J31" i="91"/>
  <c r="J32" i="91"/>
  <c r="J33" i="91"/>
  <c r="J34" i="91"/>
  <c r="J35" i="91"/>
  <c r="J36" i="91"/>
  <c r="J37" i="91"/>
  <c r="J38" i="91"/>
  <c r="J39" i="91"/>
  <c r="J3" i="91"/>
  <c r="J4" i="90"/>
  <c r="J5" i="90"/>
  <c r="J6" i="90"/>
  <c r="J7" i="90"/>
  <c r="J8" i="90"/>
  <c r="J9" i="90"/>
  <c r="J10" i="90"/>
  <c r="J11" i="90"/>
  <c r="J12" i="90"/>
  <c r="J13" i="90"/>
  <c r="J14" i="90"/>
  <c r="J15" i="90"/>
  <c r="J16" i="90"/>
  <c r="J17" i="90"/>
  <c r="J18" i="90"/>
  <c r="J19" i="90"/>
  <c r="J20" i="90"/>
  <c r="J21" i="90"/>
  <c r="J22" i="90"/>
  <c r="J23" i="90"/>
  <c r="J24" i="90"/>
  <c r="J25" i="90"/>
  <c r="J26" i="90"/>
  <c r="J27" i="90"/>
  <c r="J28" i="90"/>
  <c r="J29" i="90"/>
  <c r="J30" i="90"/>
  <c r="J31" i="90"/>
  <c r="J32" i="90"/>
  <c r="J33" i="90"/>
  <c r="J34" i="90"/>
  <c r="J35" i="90"/>
  <c r="J36" i="90"/>
  <c r="J37" i="90"/>
  <c r="J38" i="90"/>
  <c r="J39" i="90"/>
  <c r="J3" i="90"/>
  <c r="J16" i="88"/>
  <c r="J17" i="88"/>
  <c r="J18" i="88"/>
  <c r="J19" i="88"/>
  <c r="J20" i="88"/>
  <c r="J21" i="88"/>
  <c r="J22" i="88"/>
  <c r="J23" i="88"/>
  <c r="J24" i="88"/>
  <c r="J25" i="88"/>
  <c r="J26" i="88"/>
  <c r="J27" i="88"/>
  <c r="J28" i="88"/>
  <c r="J29" i="88"/>
  <c r="J30" i="88"/>
  <c r="J31" i="88"/>
  <c r="J32" i="88"/>
  <c r="J33" i="88"/>
  <c r="J34" i="88"/>
  <c r="J35" i="88"/>
  <c r="J36" i="88"/>
  <c r="J37" i="88"/>
  <c r="J38" i="88"/>
  <c r="J39" i="88"/>
  <c r="J3" i="88"/>
  <c r="J4" i="88"/>
  <c r="J5" i="88"/>
  <c r="J6" i="88"/>
  <c r="J7" i="88"/>
  <c r="J8" i="88"/>
  <c r="J9" i="88"/>
  <c r="J10" i="88"/>
  <c r="J11" i="88"/>
  <c r="J12" i="88"/>
  <c r="J13" i="88"/>
  <c r="J14" i="88"/>
  <c r="J3" i="89"/>
  <c r="J4" i="89"/>
  <c r="J5" i="89"/>
  <c r="J6" i="89"/>
  <c r="J7" i="89"/>
  <c r="J8" i="89"/>
  <c r="J9" i="89"/>
  <c r="J10" i="89"/>
  <c r="J11" i="89"/>
  <c r="J15" i="88"/>
  <c r="J13" i="89"/>
  <c r="J14" i="89"/>
  <c r="J15" i="89"/>
  <c r="J16" i="89"/>
  <c r="J17" i="89"/>
  <c r="J18" i="89"/>
  <c r="J19" i="89"/>
  <c r="J20" i="89"/>
  <c r="J21" i="89"/>
  <c r="J22" i="89"/>
  <c r="J23" i="89"/>
  <c r="J24" i="89"/>
  <c r="J25" i="89"/>
  <c r="J26" i="89"/>
  <c r="J27" i="89"/>
  <c r="J28" i="89"/>
  <c r="J29" i="89"/>
  <c r="J30" i="89"/>
  <c r="J31" i="89"/>
  <c r="J32" i="89"/>
  <c r="J33" i="89"/>
  <c r="J34" i="89"/>
  <c r="J35" i="89"/>
  <c r="J36" i="89"/>
  <c r="J37" i="89"/>
  <c r="J38" i="89"/>
  <c r="J39" i="89"/>
  <c r="J12" i="89"/>
  <c r="J4" i="87"/>
  <c r="J5" i="87"/>
  <c r="J6" i="87"/>
  <c r="J7" i="87"/>
  <c r="J8" i="87"/>
  <c r="J9" i="87"/>
  <c r="J10" i="87"/>
  <c r="J11" i="87"/>
  <c r="J12" i="87"/>
  <c r="J13" i="87"/>
  <c r="J14" i="87"/>
  <c r="J15" i="87"/>
  <c r="J16" i="87"/>
  <c r="J17" i="87"/>
  <c r="J18" i="87"/>
  <c r="J19" i="87"/>
  <c r="J20" i="87"/>
  <c r="J21" i="87"/>
  <c r="J22" i="87"/>
  <c r="J23" i="87"/>
  <c r="J24" i="87"/>
  <c r="J25" i="87"/>
  <c r="J26" i="87"/>
  <c r="J27" i="87"/>
  <c r="J28" i="87"/>
  <c r="J29" i="87"/>
  <c r="J30" i="87"/>
  <c r="J31" i="87"/>
  <c r="J32" i="87"/>
  <c r="J33" i="87"/>
  <c r="J34" i="87"/>
  <c r="J35" i="87"/>
  <c r="J36" i="87"/>
  <c r="J37" i="87"/>
  <c r="J38" i="87"/>
  <c r="J39" i="87"/>
  <c r="J3" i="87"/>
  <c r="M39" i="95"/>
  <c r="M38" i="95"/>
  <c r="M37" i="95"/>
  <c r="M36" i="95"/>
  <c r="M35" i="95"/>
  <c r="M34" i="95"/>
  <c r="M33" i="95"/>
  <c r="M32" i="95"/>
  <c r="M31" i="95"/>
  <c r="M30" i="95"/>
  <c r="M29" i="95"/>
  <c r="M28" i="95"/>
  <c r="M27" i="95"/>
  <c r="M26" i="95"/>
  <c r="M25" i="95"/>
  <c r="M24" i="95"/>
  <c r="M23" i="95"/>
  <c r="M22" i="95"/>
  <c r="M21" i="95"/>
  <c r="M20" i="95"/>
  <c r="M19" i="95"/>
  <c r="M18" i="95"/>
  <c r="M17" i="95"/>
  <c r="M16" i="95"/>
  <c r="M15" i="95"/>
  <c r="M14" i="95"/>
  <c r="M13" i="95"/>
  <c r="M12" i="95"/>
  <c r="M11" i="95"/>
  <c r="M10" i="95"/>
  <c r="M9" i="95"/>
  <c r="M8" i="95"/>
  <c r="M7" i="95"/>
  <c r="M6" i="95"/>
  <c r="M5" i="95"/>
  <c r="M4" i="95"/>
  <c r="M3" i="95"/>
  <c r="I3" i="90"/>
  <c r="I4" i="90"/>
  <c r="I5" i="90"/>
  <c r="I6" i="90"/>
  <c r="I7" i="90"/>
  <c r="I8" i="90"/>
  <c r="I9" i="90"/>
  <c r="I10" i="90"/>
  <c r="I11" i="90"/>
  <c r="I3" i="88"/>
  <c r="I4" i="88"/>
  <c r="I5" i="88"/>
  <c r="I4" i="83"/>
  <c r="I5" i="83"/>
  <c r="I6" i="83"/>
  <c r="I7" i="83"/>
  <c r="I8" i="83"/>
  <c r="I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3" i="83"/>
  <c r="I4" i="91"/>
  <c r="I5" i="91"/>
  <c r="I6" i="91"/>
  <c r="I7" i="91"/>
  <c r="I8" i="91"/>
  <c r="I9" i="91"/>
  <c r="I10" i="91"/>
  <c r="I11" i="91"/>
  <c r="I12" i="91"/>
  <c r="I13" i="91"/>
  <c r="I14" i="91"/>
  <c r="I15" i="91"/>
  <c r="I16" i="91"/>
  <c r="I17" i="91"/>
  <c r="I18" i="91"/>
  <c r="I19" i="91"/>
  <c r="I20" i="91"/>
  <c r="I21" i="91"/>
  <c r="I22" i="91"/>
  <c r="I23" i="91"/>
  <c r="I24" i="91"/>
  <c r="I25" i="91"/>
  <c r="I26" i="91"/>
  <c r="I27" i="91"/>
  <c r="I28" i="91"/>
  <c r="I29" i="91"/>
  <c r="I30" i="91"/>
  <c r="I31" i="91"/>
  <c r="I32" i="91"/>
  <c r="I33" i="91"/>
  <c r="I34" i="91"/>
  <c r="I35" i="91"/>
  <c r="I36" i="91"/>
  <c r="I37" i="91"/>
  <c r="I38" i="91"/>
  <c r="I39" i="91"/>
  <c r="I3" i="91"/>
  <c r="I13" i="90"/>
  <c r="I14" i="90"/>
  <c r="I15" i="90"/>
  <c r="I16" i="90"/>
  <c r="I17" i="90"/>
  <c r="I18" i="90"/>
  <c r="I19" i="90"/>
  <c r="I20" i="90"/>
  <c r="I21" i="90"/>
  <c r="I22" i="90"/>
  <c r="I23" i="90"/>
  <c r="I24" i="90"/>
  <c r="I25" i="90"/>
  <c r="I26" i="90"/>
  <c r="I27" i="90"/>
  <c r="I28" i="90"/>
  <c r="I29" i="90"/>
  <c r="I30" i="90"/>
  <c r="I31" i="90"/>
  <c r="I32" i="90"/>
  <c r="I33" i="90"/>
  <c r="I34" i="90"/>
  <c r="I35" i="90"/>
  <c r="I36" i="90"/>
  <c r="I37" i="90"/>
  <c r="I38" i="90"/>
  <c r="I39" i="90"/>
  <c r="I12" i="90"/>
  <c r="I7" i="88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6" i="88"/>
  <c r="I4" i="89"/>
  <c r="I5" i="89"/>
  <c r="I6" i="89"/>
  <c r="I7" i="89"/>
  <c r="I8" i="89"/>
  <c r="I9" i="89"/>
  <c r="I10" i="89"/>
  <c r="I11" i="89"/>
  <c r="I12" i="89"/>
  <c r="I13" i="89"/>
  <c r="I14" i="89"/>
  <c r="I15" i="89"/>
  <c r="I16" i="89"/>
  <c r="I17" i="89"/>
  <c r="I18" i="89"/>
  <c r="I19" i="89"/>
  <c r="I20" i="89"/>
  <c r="I21" i="89"/>
  <c r="I22" i="89"/>
  <c r="I23" i="89"/>
  <c r="I24" i="89"/>
  <c r="I25" i="89"/>
  <c r="I26" i="89"/>
  <c r="I27" i="89"/>
  <c r="I28" i="89"/>
  <c r="I29" i="89"/>
  <c r="I30" i="89"/>
  <c r="I31" i="89"/>
  <c r="I32" i="89"/>
  <c r="I33" i="89"/>
  <c r="I34" i="89"/>
  <c r="I35" i="89"/>
  <c r="I36" i="89"/>
  <c r="I37" i="89"/>
  <c r="I38" i="89"/>
  <c r="I39" i="89"/>
  <c r="I3" i="89"/>
  <c r="I4" i="87"/>
  <c r="I5" i="87"/>
  <c r="I6" i="87"/>
  <c r="I7" i="87"/>
  <c r="I8" i="87"/>
  <c r="I9" i="87"/>
  <c r="I10" i="87"/>
  <c r="I11" i="87"/>
  <c r="I12" i="87"/>
  <c r="I13" i="87"/>
  <c r="I14" i="87"/>
  <c r="I15" i="87"/>
  <c r="I16" i="87"/>
  <c r="I17" i="87"/>
  <c r="I18" i="87"/>
  <c r="I19" i="87"/>
  <c r="I20" i="87"/>
  <c r="I21" i="87"/>
  <c r="I22" i="87"/>
  <c r="I23" i="87"/>
  <c r="I24" i="87"/>
  <c r="I25" i="87"/>
  <c r="I26" i="87"/>
  <c r="I27" i="87"/>
  <c r="I28" i="87"/>
  <c r="I29" i="87"/>
  <c r="I30" i="87"/>
  <c r="I31" i="87"/>
  <c r="I32" i="87"/>
  <c r="I33" i="87"/>
  <c r="I34" i="87"/>
  <c r="I35" i="87"/>
  <c r="I36" i="87"/>
  <c r="I37" i="87"/>
  <c r="I38" i="87"/>
  <c r="I39" i="87"/>
  <c r="I3" i="87"/>
  <c r="M39" i="94"/>
  <c r="M38" i="94"/>
  <c r="M37" i="94"/>
  <c r="M36" i="94"/>
  <c r="M35" i="94"/>
  <c r="M34" i="94"/>
  <c r="M33" i="94"/>
  <c r="M32" i="94"/>
  <c r="M31" i="94"/>
  <c r="M30" i="94"/>
  <c r="M29" i="94"/>
  <c r="M28" i="94"/>
  <c r="M27" i="94"/>
  <c r="M26" i="94"/>
  <c r="M25" i="94"/>
  <c r="M24" i="94"/>
  <c r="M23" i="94"/>
  <c r="M22" i="94"/>
  <c r="M21" i="94"/>
  <c r="M20" i="94"/>
  <c r="M19" i="94"/>
  <c r="M18" i="94"/>
  <c r="M17" i="94"/>
  <c r="M16" i="94"/>
  <c r="M15" i="94"/>
  <c r="M14" i="94"/>
  <c r="M13" i="94"/>
  <c r="M12" i="94"/>
  <c r="M11" i="94"/>
  <c r="M10" i="94"/>
  <c r="M9" i="94"/>
  <c r="M8" i="94"/>
  <c r="M7" i="94"/>
  <c r="M6" i="94"/>
  <c r="M5" i="94"/>
  <c r="M4" i="94"/>
  <c r="M3" i="94"/>
  <c r="H4" i="83"/>
  <c r="H5" i="83"/>
  <c r="H6" i="83"/>
  <c r="H7" i="83"/>
  <c r="H8" i="83"/>
  <c r="H9" i="83"/>
  <c r="H10" i="83"/>
  <c r="H11" i="83"/>
  <c r="H12" i="83"/>
  <c r="H13" i="83"/>
  <c r="H14" i="83"/>
  <c r="H15" i="83"/>
  <c r="H16" i="83"/>
  <c r="H17" i="83"/>
  <c r="H18" i="83"/>
  <c r="H19" i="83"/>
  <c r="H20" i="83"/>
  <c r="H21" i="83"/>
  <c r="H22" i="83"/>
  <c r="H23" i="83"/>
  <c r="H24" i="83"/>
  <c r="H25" i="83"/>
  <c r="H26" i="83"/>
  <c r="H27" i="83"/>
  <c r="H28" i="83"/>
  <c r="H29" i="83"/>
  <c r="H30" i="83"/>
  <c r="H31" i="83"/>
  <c r="H32" i="83"/>
  <c r="H33" i="83"/>
  <c r="H34" i="83"/>
  <c r="H35" i="83"/>
  <c r="H36" i="83"/>
  <c r="H37" i="83"/>
  <c r="H38" i="83"/>
  <c r="H39" i="83"/>
  <c r="H3" i="83"/>
  <c r="H4" i="91"/>
  <c r="H5" i="91"/>
  <c r="H6" i="91"/>
  <c r="H7" i="91"/>
  <c r="H8" i="91"/>
  <c r="H9" i="91"/>
  <c r="H10" i="91"/>
  <c r="H11" i="91"/>
  <c r="H12" i="91"/>
  <c r="H13" i="91"/>
  <c r="H14" i="91"/>
  <c r="H15" i="91"/>
  <c r="H16" i="91"/>
  <c r="H17" i="91"/>
  <c r="H18" i="91"/>
  <c r="H19" i="91"/>
  <c r="H20" i="91"/>
  <c r="H21" i="91"/>
  <c r="H22" i="91"/>
  <c r="H23" i="91"/>
  <c r="H24" i="91"/>
  <c r="H25" i="91"/>
  <c r="H26" i="91"/>
  <c r="H27" i="91"/>
  <c r="H28" i="91"/>
  <c r="H29" i="91"/>
  <c r="H30" i="91"/>
  <c r="H31" i="91"/>
  <c r="H32" i="91"/>
  <c r="H33" i="91"/>
  <c r="H34" i="91"/>
  <c r="H35" i="91"/>
  <c r="H36" i="91"/>
  <c r="H37" i="91"/>
  <c r="H38" i="91"/>
  <c r="H39" i="91"/>
  <c r="H3" i="91"/>
  <c r="H4" i="90"/>
  <c r="H5" i="90"/>
  <c r="H6" i="90"/>
  <c r="H7" i="90"/>
  <c r="H8" i="90"/>
  <c r="H9" i="90"/>
  <c r="H10" i="90"/>
  <c r="H11" i="90"/>
  <c r="H12" i="90"/>
  <c r="H13" i="90"/>
  <c r="H14" i="90"/>
  <c r="H15" i="90"/>
  <c r="H16" i="90"/>
  <c r="H17" i="90"/>
  <c r="H18" i="90"/>
  <c r="H19" i="90"/>
  <c r="H20" i="90"/>
  <c r="H21" i="90"/>
  <c r="H22" i="90"/>
  <c r="H23" i="90"/>
  <c r="H24" i="90"/>
  <c r="H25" i="90"/>
  <c r="H26" i="90"/>
  <c r="H27" i="90"/>
  <c r="H28" i="90"/>
  <c r="H29" i="90"/>
  <c r="H30" i="90"/>
  <c r="H31" i="90"/>
  <c r="H32" i="90"/>
  <c r="H33" i="90"/>
  <c r="H34" i="90"/>
  <c r="H35" i="90"/>
  <c r="H36" i="90"/>
  <c r="H37" i="90"/>
  <c r="H38" i="90"/>
  <c r="H39" i="90"/>
  <c r="H3" i="90"/>
  <c r="G5" i="88"/>
  <c r="G6" i="88"/>
  <c r="G7" i="88"/>
  <c r="G8" i="88"/>
  <c r="G9" i="88"/>
  <c r="G10" i="88"/>
  <c r="G11" i="88"/>
  <c r="G12" i="88"/>
  <c r="G13" i="88"/>
  <c r="G14" i="88"/>
  <c r="G15" i="88"/>
  <c r="G16" i="88"/>
  <c r="G17" i="88"/>
  <c r="G18" i="88"/>
  <c r="G19" i="88"/>
  <c r="G20" i="88"/>
  <c r="G21" i="88"/>
  <c r="G22" i="88"/>
  <c r="G23" i="88"/>
  <c r="G24" i="88"/>
  <c r="G25" i="88"/>
  <c r="G26" i="88"/>
  <c r="G27" i="88"/>
  <c r="G28" i="88"/>
  <c r="G29" i="88"/>
  <c r="G30" i="88"/>
  <c r="G31" i="88"/>
  <c r="G32" i="88"/>
  <c r="G33" i="88"/>
  <c r="G34" i="88"/>
  <c r="G35" i="88"/>
  <c r="G36" i="88"/>
  <c r="G37" i="88"/>
  <c r="G38" i="88"/>
  <c r="G39" i="88"/>
  <c r="G4" i="88"/>
  <c r="G3" i="88"/>
  <c r="H4" i="88"/>
  <c r="H5" i="88"/>
  <c r="H6" i="88"/>
  <c r="H7" i="88"/>
  <c r="H8" i="88"/>
  <c r="H9" i="88"/>
  <c r="H10" i="88"/>
  <c r="H11" i="88"/>
  <c r="H12" i="88"/>
  <c r="H13" i="88"/>
  <c r="H14" i="88"/>
  <c r="H15" i="88"/>
  <c r="H16" i="88"/>
  <c r="H17" i="88"/>
  <c r="H18" i="88"/>
  <c r="H19" i="88"/>
  <c r="H20" i="88"/>
  <c r="H21" i="88"/>
  <c r="H22" i="88"/>
  <c r="H23" i="88"/>
  <c r="H24" i="88"/>
  <c r="H25" i="88"/>
  <c r="H26" i="88"/>
  <c r="H27" i="88"/>
  <c r="H28" i="88"/>
  <c r="H29" i="88"/>
  <c r="H30" i="88"/>
  <c r="H31" i="88"/>
  <c r="H32" i="88"/>
  <c r="H33" i="88"/>
  <c r="H34" i="88"/>
  <c r="H35" i="88"/>
  <c r="H36" i="88"/>
  <c r="H37" i="88"/>
  <c r="H38" i="88"/>
  <c r="H39" i="88"/>
  <c r="H3" i="88"/>
  <c r="H4" i="89"/>
  <c r="H5" i="89"/>
  <c r="H6" i="89"/>
  <c r="H7" i="89"/>
  <c r="H8" i="89"/>
  <c r="H9" i="89"/>
  <c r="H10" i="89"/>
  <c r="H11" i="89"/>
  <c r="H12" i="89"/>
  <c r="H13" i="89"/>
  <c r="H14" i="89"/>
  <c r="H15" i="89"/>
  <c r="H16" i="89"/>
  <c r="H17" i="89"/>
  <c r="H18" i="89"/>
  <c r="H19" i="89"/>
  <c r="H20" i="89"/>
  <c r="H21" i="89"/>
  <c r="H22" i="89"/>
  <c r="H23" i="89"/>
  <c r="H24" i="89"/>
  <c r="H25" i="89"/>
  <c r="H26" i="89"/>
  <c r="H27" i="89"/>
  <c r="H28" i="89"/>
  <c r="H29" i="89"/>
  <c r="H30" i="89"/>
  <c r="H31" i="89"/>
  <c r="H32" i="89"/>
  <c r="H33" i="89"/>
  <c r="H34" i="89"/>
  <c r="H35" i="89"/>
  <c r="H36" i="89"/>
  <c r="H37" i="89"/>
  <c r="H38" i="89"/>
  <c r="H39" i="89"/>
  <c r="H3" i="89"/>
  <c r="H4" i="87"/>
  <c r="H5" i="87"/>
  <c r="H6" i="87"/>
  <c r="H7" i="87"/>
  <c r="H8" i="87"/>
  <c r="H9" i="87"/>
  <c r="H10" i="87"/>
  <c r="H11" i="87"/>
  <c r="H12" i="87"/>
  <c r="H13" i="87"/>
  <c r="H14" i="87"/>
  <c r="H15" i="87"/>
  <c r="H16" i="87"/>
  <c r="H17" i="87"/>
  <c r="H18" i="87"/>
  <c r="H19" i="87"/>
  <c r="H20" i="87"/>
  <c r="H21" i="87"/>
  <c r="H22" i="87"/>
  <c r="H23" i="87"/>
  <c r="H24" i="87"/>
  <c r="H25" i="87"/>
  <c r="H26" i="87"/>
  <c r="H27" i="87"/>
  <c r="H28" i="87"/>
  <c r="H29" i="87"/>
  <c r="H30" i="87"/>
  <c r="H31" i="87"/>
  <c r="H32" i="87"/>
  <c r="H33" i="87"/>
  <c r="H34" i="87"/>
  <c r="H35" i="87"/>
  <c r="H36" i="87"/>
  <c r="H37" i="87"/>
  <c r="H38" i="87"/>
  <c r="H39" i="87"/>
  <c r="H3" i="87"/>
  <c r="M39" i="93"/>
  <c r="M38" i="93"/>
  <c r="M37" i="93"/>
  <c r="M36" i="93"/>
  <c r="M35" i="93"/>
  <c r="M34" i="93"/>
  <c r="M33" i="93"/>
  <c r="M32" i="93"/>
  <c r="M31" i="93"/>
  <c r="M30" i="93"/>
  <c r="M29" i="93"/>
  <c r="M28" i="93"/>
  <c r="M27" i="93"/>
  <c r="M26" i="93"/>
  <c r="M25" i="93"/>
  <c r="M24" i="93"/>
  <c r="M23" i="93"/>
  <c r="M22" i="93"/>
  <c r="M21" i="93"/>
  <c r="M20" i="93"/>
  <c r="M19" i="93"/>
  <c r="M18" i="93"/>
  <c r="M17" i="93"/>
  <c r="M16" i="93"/>
  <c r="M15" i="93"/>
  <c r="M14" i="93"/>
  <c r="M13" i="93"/>
  <c r="M12" i="93"/>
  <c r="M11" i="93"/>
  <c r="M10" i="93"/>
  <c r="M9" i="93"/>
  <c r="M8" i="93"/>
  <c r="M7" i="93"/>
  <c r="M6" i="93"/>
  <c r="M5" i="93"/>
  <c r="M4" i="93"/>
  <c r="M3" i="93"/>
  <c r="T23" i="83" l="1"/>
  <c r="E4" i="91"/>
  <c r="F4" i="91"/>
  <c r="G4" i="91"/>
  <c r="E5" i="91"/>
  <c r="F5" i="91"/>
  <c r="R5" i="91" s="1"/>
  <c r="G5" i="91"/>
  <c r="E6" i="91"/>
  <c r="F6" i="91"/>
  <c r="G6" i="91"/>
  <c r="E7" i="91"/>
  <c r="F7" i="91"/>
  <c r="G7" i="91"/>
  <c r="T7" i="91" s="1"/>
  <c r="E8" i="91"/>
  <c r="F8" i="91"/>
  <c r="R8" i="91" s="1"/>
  <c r="G8" i="91"/>
  <c r="E9" i="91"/>
  <c r="F9" i="91"/>
  <c r="S9" i="91" s="1"/>
  <c r="U9" i="91" s="1"/>
  <c r="G9" i="91"/>
  <c r="E10" i="91"/>
  <c r="F10" i="91"/>
  <c r="T10" i="91" s="1"/>
  <c r="G10" i="91"/>
  <c r="E11" i="91"/>
  <c r="F11" i="91"/>
  <c r="R11" i="91" s="1"/>
  <c r="G11" i="91"/>
  <c r="E12" i="91"/>
  <c r="F12" i="91"/>
  <c r="G12" i="91"/>
  <c r="E13" i="91"/>
  <c r="F13" i="91"/>
  <c r="T13" i="91" s="1"/>
  <c r="G13" i="91"/>
  <c r="E14" i="91"/>
  <c r="F14" i="91"/>
  <c r="G14" i="91"/>
  <c r="E15" i="91"/>
  <c r="T15" i="91" s="1"/>
  <c r="F15" i="91"/>
  <c r="R15" i="91" s="1"/>
  <c r="G15" i="91"/>
  <c r="E16" i="91"/>
  <c r="F16" i="91"/>
  <c r="T16" i="91" s="1"/>
  <c r="G16" i="91"/>
  <c r="E17" i="91"/>
  <c r="F17" i="91"/>
  <c r="R17" i="91" s="1"/>
  <c r="G17" i="91"/>
  <c r="E18" i="91"/>
  <c r="F18" i="91"/>
  <c r="G18" i="91"/>
  <c r="E19" i="91"/>
  <c r="T19" i="91" s="1"/>
  <c r="F19" i="91"/>
  <c r="G19" i="91"/>
  <c r="E20" i="91"/>
  <c r="F20" i="91"/>
  <c r="R20" i="91" s="1"/>
  <c r="G20" i="91"/>
  <c r="E21" i="91"/>
  <c r="F21" i="91"/>
  <c r="T21" i="91" s="1"/>
  <c r="G21" i="91"/>
  <c r="E22" i="91"/>
  <c r="T22" i="91" s="1"/>
  <c r="F22" i="91"/>
  <c r="G22" i="91"/>
  <c r="E23" i="91"/>
  <c r="F23" i="91"/>
  <c r="R23" i="91" s="1"/>
  <c r="G23" i="91"/>
  <c r="E24" i="91"/>
  <c r="F24" i="91"/>
  <c r="G24" i="91"/>
  <c r="E25" i="91"/>
  <c r="F25" i="91"/>
  <c r="T25" i="91" s="1"/>
  <c r="G25" i="91"/>
  <c r="E26" i="91"/>
  <c r="F26" i="91"/>
  <c r="R26" i="91" s="1"/>
  <c r="G26" i="91"/>
  <c r="E27" i="91"/>
  <c r="T27" i="91" s="1"/>
  <c r="F27" i="91"/>
  <c r="R27" i="91" s="1"/>
  <c r="G27" i="91"/>
  <c r="E28" i="91"/>
  <c r="T28" i="91" s="1"/>
  <c r="F28" i="91"/>
  <c r="G28" i="91"/>
  <c r="E29" i="91"/>
  <c r="F29" i="91"/>
  <c r="R29" i="91" s="1"/>
  <c r="G29" i="91"/>
  <c r="E30" i="91"/>
  <c r="F30" i="91"/>
  <c r="G30" i="91"/>
  <c r="E31" i="91"/>
  <c r="T31" i="91" s="1"/>
  <c r="F31" i="91"/>
  <c r="G31" i="91"/>
  <c r="E32" i="91"/>
  <c r="F32" i="91"/>
  <c r="R32" i="91" s="1"/>
  <c r="G32" i="91"/>
  <c r="E33" i="91"/>
  <c r="F33" i="91"/>
  <c r="T33" i="91" s="1"/>
  <c r="G33" i="91"/>
  <c r="E34" i="91"/>
  <c r="T34" i="91" s="1"/>
  <c r="F34" i="91"/>
  <c r="G34" i="91"/>
  <c r="E35" i="91"/>
  <c r="R35" i="91" s="1"/>
  <c r="F35" i="91"/>
  <c r="Q35" i="91" s="1"/>
  <c r="G35" i="91"/>
  <c r="E36" i="91"/>
  <c r="F36" i="91"/>
  <c r="T36" i="91" s="1"/>
  <c r="G36" i="91"/>
  <c r="E37" i="91"/>
  <c r="F37" i="91"/>
  <c r="T37" i="91" s="1"/>
  <c r="G37" i="91"/>
  <c r="E38" i="91"/>
  <c r="F38" i="91"/>
  <c r="R38" i="91" s="1"/>
  <c r="G38" i="91"/>
  <c r="E39" i="91"/>
  <c r="T39" i="91" s="1"/>
  <c r="F39" i="91"/>
  <c r="R39" i="91" s="1"/>
  <c r="G39" i="91"/>
  <c r="G3" i="91"/>
  <c r="F3" i="91"/>
  <c r="T3" i="91" s="1"/>
  <c r="E3" i="91"/>
  <c r="Q38" i="91"/>
  <c r="R36" i="91"/>
  <c r="S36" i="91"/>
  <c r="U36" i="91" s="1"/>
  <c r="R33" i="91"/>
  <c r="Q32" i="91"/>
  <c r="T30" i="91"/>
  <c r="R30" i="91"/>
  <c r="S30" i="91"/>
  <c r="U30" i="91" s="1"/>
  <c r="Q29" i="91"/>
  <c r="Q26" i="91"/>
  <c r="T24" i="91"/>
  <c r="R24" i="91"/>
  <c r="S24" i="91"/>
  <c r="U24" i="91" s="1"/>
  <c r="R21" i="91"/>
  <c r="Q20" i="91"/>
  <c r="T18" i="91"/>
  <c r="R18" i="91"/>
  <c r="S18" i="91"/>
  <c r="U18" i="91" s="1"/>
  <c r="Q17" i="91"/>
  <c r="R14" i="91"/>
  <c r="Q14" i="91"/>
  <c r="T12" i="91"/>
  <c r="R12" i="91"/>
  <c r="S12" i="91"/>
  <c r="U12" i="91" s="1"/>
  <c r="Q12" i="91"/>
  <c r="T9" i="91"/>
  <c r="R9" i="91"/>
  <c r="Q9" i="91"/>
  <c r="Q8" i="91"/>
  <c r="T6" i="91"/>
  <c r="R6" i="91"/>
  <c r="S6" i="91"/>
  <c r="U6" i="91" s="1"/>
  <c r="Q6" i="91"/>
  <c r="Q5" i="91"/>
  <c r="T4" i="91"/>
  <c r="E4" i="90"/>
  <c r="T4" i="90" s="1"/>
  <c r="F4" i="90"/>
  <c r="G4" i="90"/>
  <c r="E5" i="90"/>
  <c r="F5" i="90"/>
  <c r="R5" i="90" s="1"/>
  <c r="G5" i="90"/>
  <c r="E6" i="90"/>
  <c r="F6" i="90"/>
  <c r="G6" i="90"/>
  <c r="E7" i="90"/>
  <c r="F7" i="90"/>
  <c r="G7" i="90"/>
  <c r="E8" i="90"/>
  <c r="R8" i="90" s="1"/>
  <c r="F8" i="90"/>
  <c r="G8" i="90"/>
  <c r="E9" i="90"/>
  <c r="F9" i="90"/>
  <c r="S9" i="90" s="1"/>
  <c r="G9" i="90"/>
  <c r="E10" i="90"/>
  <c r="F10" i="90"/>
  <c r="G10" i="90"/>
  <c r="E11" i="90"/>
  <c r="F11" i="90"/>
  <c r="G11" i="90"/>
  <c r="E12" i="90"/>
  <c r="S12" i="90" s="1"/>
  <c r="F12" i="90"/>
  <c r="G12" i="90"/>
  <c r="E13" i="90"/>
  <c r="F13" i="90"/>
  <c r="G13" i="90"/>
  <c r="E14" i="90"/>
  <c r="F14" i="90"/>
  <c r="G14" i="90"/>
  <c r="E15" i="90"/>
  <c r="F15" i="90"/>
  <c r="G15" i="90"/>
  <c r="E16" i="90"/>
  <c r="T16" i="90" s="1"/>
  <c r="F16" i="90"/>
  <c r="G16" i="90"/>
  <c r="E17" i="90"/>
  <c r="F17" i="90"/>
  <c r="G17" i="90"/>
  <c r="E18" i="90"/>
  <c r="F18" i="90"/>
  <c r="G18" i="90"/>
  <c r="E19" i="90"/>
  <c r="F19" i="90"/>
  <c r="G19" i="90"/>
  <c r="E20" i="90"/>
  <c r="R20" i="90" s="1"/>
  <c r="F20" i="90"/>
  <c r="G20" i="90"/>
  <c r="E21" i="90"/>
  <c r="F21" i="90"/>
  <c r="S21" i="90" s="1"/>
  <c r="G21" i="90"/>
  <c r="E22" i="90"/>
  <c r="F22" i="90"/>
  <c r="G22" i="90"/>
  <c r="E23" i="90"/>
  <c r="F23" i="90"/>
  <c r="G23" i="90"/>
  <c r="E24" i="90"/>
  <c r="R24" i="90" s="1"/>
  <c r="F24" i="90"/>
  <c r="G24" i="90"/>
  <c r="E25" i="90"/>
  <c r="F25" i="90"/>
  <c r="T25" i="90" s="1"/>
  <c r="G25" i="90"/>
  <c r="E26" i="90"/>
  <c r="F26" i="90"/>
  <c r="G26" i="90"/>
  <c r="E27" i="90"/>
  <c r="F27" i="90"/>
  <c r="G27" i="90"/>
  <c r="E28" i="90"/>
  <c r="T28" i="90" s="1"/>
  <c r="F28" i="90"/>
  <c r="G28" i="90"/>
  <c r="E29" i="90"/>
  <c r="F29" i="90"/>
  <c r="R29" i="90" s="1"/>
  <c r="G29" i="90"/>
  <c r="E30" i="90"/>
  <c r="F30" i="90"/>
  <c r="G30" i="90"/>
  <c r="R30" i="90" s="1"/>
  <c r="E31" i="90"/>
  <c r="F31" i="90"/>
  <c r="G31" i="90"/>
  <c r="E32" i="90"/>
  <c r="R32" i="90" s="1"/>
  <c r="F32" i="90"/>
  <c r="G32" i="90"/>
  <c r="E33" i="90"/>
  <c r="F33" i="90"/>
  <c r="S33" i="90" s="1"/>
  <c r="G33" i="90"/>
  <c r="E34" i="90"/>
  <c r="F34" i="90"/>
  <c r="G34" i="90"/>
  <c r="T34" i="90" s="1"/>
  <c r="E35" i="90"/>
  <c r="R35" i="90" s="1"/>
  <c r="F35" i="90"/>
  <c r="G35" i="90"/>
  <c r="E36" i="90"/>
  <c r="S36" i="90" s="1"/>
  <c r="F36" i="90"/>
  <c r="G36" i="90"/>
  <c r="E37" i="90"/>
  <c r="F37" i="90"/>
  <c r="T37" i="90" s="1"/>
  <c r="G37" i="90"/>
  <c r="E38" i="90"/>
  <c r="F38" i="90"/>
  <c r="G38" i="90"/>
  <c r="R38" i="90" s="1"/>
  <c r="E39" i="90"/>
  <c r="S39" i="90" s="1"/>
  <c r="F39" i="90"/>
  <c r="G39" i="90"/>
  <c r="G3" i="90"/>
  <c r="F3" i="90"/>
  <c r="E3" i="90"/>
  <c r="T33" i="90"/>
  <c r="S30" i="90"/>
  <c r="T30" i="90"/>
  <c r="Q29" i="90"/>
  <c r="R26" i="90"/>
  <c r="Q26" i="90"/>
  <c r="T22" i="90"/>
  <c r="R21" i="90"/>
  <c r="S18" i="90"/>
  <c r="R18" i="90"/>
  <c r="T18" i="90"/>
  <c r="R17" i="90"/>
  <c r="Q17" i="90"/>
  <c r="R14" i="90"/>
  <c r="Q14" i="90"/>
  <c r="T13" i="90"/>
  <c r="T10" i="90"/>
  <c r="T9" i="90"/>
  <c r="S6" i="90"/>
  <c r="R6" i="90"/>
  <c r="T6" i="90"/>
  <c r="Q5" i="90"/>
  <c r="E4" i="89"/>
  <c r="F4" i="89"/>
  <c r="T4" i="89" s="1"/>
  <c r="G4" i="89"/>
  <c r="E5" i="89"/>
  <c r="T5" i="89" s="1"/>
  <c r="F5" i="89"/>
  <c r="G5" i="89"/>
  <c r="E6" i="89"/>
  <c r="F6" i="89"/>
  <c r="T6" i="89" s="1"/>
  <c r="G6" i="89"/>
  <c r="E7" i="89"/>
  <c r="T7" i="89" s="1"/>
  <c r="F7" i="89"/>
  <c r="G7" i="89"/>
  <c r="E8" i="89"/>
  <c r="Q8" i="89" s="1"/>
  <c r="F8" i="89"/>
  <c r="G8" i="89"/>
  <c r="E9" i="89"/>
  <c r="S9" i="89" s="1"/>
  <c r="U9" i="89" s="1"/>
  <c r="F9" i="89"/>
  <c r="G9" i="89"/>
  <c r="E10" i="89"/>
  <c r="F10" i="89"/>
  <c r="T10" i="89" s="1"/>
  <c r="G10" i="89"/>
  <c r="E11" i="89"/>
  <c r="S11" i="89" s="1"/>
  <c r="U11" i="89" s="1"/>
  <c r="F11" i="89"/>
  <c r="G11" i="89"/>
  <c r="R11" i="89" s="1"/>
  <c r="E12" i="89"/>
  <c r="T12" i="89" s="1"/>
  <c r="F12" i="89"/>
  <c r="G12" i="89"/>
  <c r="E13" i="89"/>
  <c r="F13" i="89"/>
  <c r="G13" i="89"/>
  <c r="E14" i="89"/>
  <c r="F14" i="89"/>
  <c r="R14" i="89" s="1"/>
  <c r="G14" i="89"/>
  <c r="E15" i="89"/>
  <c r="S15" i="89" s="1"/>
  <c r="U15" i="89" s="1"/>
  <c r="F15" i="89"/>
  <c r="G15" i="89"/>
  <c r="T15" i="89" s="1"/>
  <c r="E16" i="89"/>
  <c r="F16" i="89"/>
  <c r="G16" i="89"/>
  <c r="E17" i="89"/>
  <c r="S17" i="89" s="1"/>
  <c r="U17" i="89" s="1"/>
  <c r="F17" i="89"/>
  <c r="G17" i="89"/>
  <c r="E18" i="89"/>
  <c r="F18" i="89"/>
  <c r="G18" i="89"/>
  <c r="E19" i="89"/>
  <c r="F19" i="89"/>
  <c r="G19" i="89"/>
  <c r="T19" i="89" s="1"/>
  <c r="E20" i="89"/>
  <c r="R20" i="89" s="1"/>
  <c r="F20" i="89"/>
  <c r="Q20" i="89" s="1"/>
  <c r="G20" i="89"/>
  <c r="E21" i="89"/>
  <c r="F21" i="89"/>
  <c r="G21" i="89"/>
  <c r="E22" i="89"/>
  <c r="F22" i="89"/>
  <c r="T22" i="89" s="1"/>
  <c r="G22" i="89"/>
  <c r="E23" i="89"/>
  <c r="T23" i="89" s="1"/>
  <c r="F23" i="89"/>
  <c r="G23" i="89"/>
  <c r="S23" i="89" s="1"/>
  <c r="U23" i="89" s="1"/>
  <c r="E24" i="89"/>
  <c r="F24" i="89"/>
  <c r="T24" i="89" s="1"/>
  <c r="G24" i="89"/>
  <c r="E25" i="89"/>
  <c r="F25" i="89"/>
  <c r="G25" i="89"/>
  <c r="E26" i="89"/>
  <c r="Q26" i="89" s="1"/>
  <c r="F26" i="89"/>
  <c r="G26" i="89"/>
  <c r="E27" i="89"/>
  <c r="T27" i="89" s="1"/>
  <c r="F27" i="89"/>
  <c r="G27" i="89"/>
  <c r="E28" i="89"/>
  <c r="T28" i="89" s="1"/>
  <c r="F28" i="89"/>
  <c r="G28" i="89"/>
  <c r="E29" i="89"/>
  <c r="S29" i="89" s="1"/>
  <c r="U29" i="89" s="1"/>
  <c r="F29" i="89"/>
  <c r="G29" i="89"/>
  <c r="E30" i="89"/>
  <c r="T30" i="89" s="1"/>
  <c r="F30" i="89"/>
  <c r="G30" i="89"/>
  <c r="E31" i="89"/>
  <c r="F31" i="89"/>
  <c r="G31" i="89"/>
  <c r="T31" i="89" s="1"/>
  <c r="E32" i="89"/>
  <c r="S32" i="89" s="1"/>
  <c r="U32" i="89" s="1"/>
  <c r="F32" i="89"/>
  <c r="R32" i="89" s="1"/>
  <c r="G32" i="89"/>
  <c r="E33" i="89"/>
  <c r="S33" i="89" s="1"/>
  <c r="U33" i="89" s="1"/>
  <c r="F33" i="89"/>
  <c r="G33" i="89"/>
  <c r="E34" i="89"/>
  <c r="F34" i="89"/>
  <c r="G34" i="89"/>
  <c r="E35" i="89"/>
  <c r="R35" i="89" s="1"/>
  <c r="F35" i="89"/>
  <c r="G35" i="89"/>
  <c r="Q35" i="89" s="1"/>
  <c r="E36" i="89"/>
  <c r="S36" i="89" s="1"/>
  <c r="U36" i="89" s="1"/>
  <c r="F36" i="89"/>
  <c r="G36" i="89"/>
  <c r="E37" i="89"/>
  <c r="F37" i="89"/>
  <c r="G37" i="89"/>
  <c r="E38" i="89"/>
  <c r="S38" i="89" s="1"/>
  <c r="U38" i="89" s="1"/>
  <c r="F38" i="89"/>
  <c r="R38" i="89" s="1"/>
  <c r="G38" i="89"/>
  <c r="E39" i="89"/>
  <c r="S39" i="89" s="1"/>
  <c r="U39" i="89" s="1"/>
  <c r="F39" i="89"/>
  <c r="G39" i="89"/>
  <c r="T39" i="89" s="1"/>
  <c r="G3" i="89"/>
  <c r="S3" i="89" s="1"/>
  <c r="U3" i="89" s="1"/>
  <c r="F3" i="89"/>
  <c r="E3" i="89"/>
  <c r="Q38" i="89"/>
  <c r="T37" i="89"/>
  <c r="T36" i="89"/>
  <c r="S35" i="89"/>
  <c r="U35" i="89" s="1"/>
  <c r="T34" i="89"/>
  <c r="T33" i="89"/>
  <c r="T32" i="89"/>
  <c r="Q32" i="89"/>
  <c r="S30" i="89"/>
  <c r="U30" i="89" s="1"/>
  <c r="R29" i="89"/>
  <c r="T29" i="89"/>
  <c r="Q29" i="89"/>
  <c r="S26" i="89"/>
  <c r="U26" i="89" s="1"/>
  <c r="R26" i="89"/>
  <c r="T26" i="89"/>
  <c r="T25" i="89"/>
  <c r="S24" i="89"/>
  <c r="U24" i="89" s="1"/>
  <c r="T21" i="89"/>
  <c r="S21" i="89"/>
  <c r="U21" i="89" s="1"/>
  <c r="S20" i="89"/>
  <c r="U20" i="89" s="1"/>
  <c r="T20" i="89"/>
  <c r="T18" i="89"/>
  <c r="S18" i="89"/>
  <c r="U18" i="89" s="1"/>
  <c r="Q17" i="89"/>
  <c r="T16" i="89"/>
  <c r="S14" i="89"/>
  <c r="U14" i="89" s="1"/>
  <c r="T14" i="89"/>
  <c r="Q14" i="89"/>
  <c r="T13" i="89"/>
  <c r="T9" i="89"/>
  <c r="S8" i="89"/>
  <c r="U8" i="89" s="1"/>
  <c r="R8" i="89"/>
  <c r="T8" i="89"/>
  <c r="S6" i="89"/>
  <c r="U6" i="89" s="1"/>
  <c r="S5" i="89"/>
  <c r="U5" i="89" s="1"/>
  <c r="R5" i="89"/>
  <c r="Q5" i="89"/>
  <c r="T3" i="89"/>
  <c r="T12" i="88"/>
  <c r="T20" i="88"/>
  <c r="T22" i="88"/>
  <c r="T29" i="88"/>
  <c r="T31" i="88"/>
  <c r="T32" i="88"/>
  <c r="T34" i="88"/>
  <c r="F4" i="88"/>
  <c r="F5" i="88"/>
  <c r="F6" i="88"/>
  <c r="F7" i="88"/>
  <c r="F8" i="88"/>
  <c r="F9" i="88"/>
  <c r="F10" i="88"/>
  <c r="F11" i="88"/>
  <c r="F12" i="88"/>
  <c r="F13" i="88"/>
  <c r="F14" i="88"/>
  <c r="T14" i="88" s="1"/>
  <c r="F15" i="88"/>
  <c r="T15" i="88" s="1"/>
  <c r="F16" i="88"/>
  <c r="F17" i="88"/>
  <c r="F18" i="88"/>
  <c r="F19" i="88"/>
  <c r="F20" i="88"/>
  <c r="F21" i="88"/>
  <c r="T21" i="88" s="1"/>
  <c r="F22" i="88"/>
  <c r="F23" i="88"/>
  <c r="F24" i="88"/>
  <c r="F25" i="88"/>
  <c r="F26" i="88"/>
  <c r="F27" i="88"/>
  <c r="T27" i="88" s="1"/>
  <c r="F28" i="88"/>
  <c r="T28" i="88" s="1"/>
  <c r="F29" i="88"/>
  <c r="Q29" i="88" s="1"/>
  <c r="F30" i="88"/>
  <c r="F31" i="88"/>
  <c r="F32" i="88"/>
  <c r="F33" i="88"/>
  <c r="F34" i="88"/>
  <c r="F35" i="88"/>
  <c r="F36" i="88"/>
  <c r="F37" i="88"/>
  <c r="F38" i="88"/>
  <c r="S38" i="88" s="1"/>
  <c r="U38" i="88" s="1"/>
  <c r="F39" i="88"/>
  <c r="F3" i="88"/>
  <c r="T3" i="88" s="1"/>
  <c r="E4" i="88"/>
  <c r="E5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T24" i="88" s="1"/>
  <c r="E25" i="88"/>
  <c r="E26" i="88"/>
  <c r="E27" i="88"/>
  <c r="E28" i="88"/>
  <c r="E29" i="88"/>
  <c r="E30" i="88"/>
  <c r="E31" i="88"/>
  <c r="E32" i="88"/>
  <c r="E33" i="88"/>
  <c r="E34" i="88"/>
  <c r="E35" i="88"/>
  <c r="E36" i="88"/>
  <c r="T36" i="88" s="1"/>
  <c r="E37" i="88"/>
  <c r="E38" i="88"/>
  <c r="T38" i="88" s="1"/>
  <c r="E39" i="88"/>
  <c r="E3" i="88"/>
  <c r="T35" i="88"/>
  <c r="S35" i="88"/>
  <c r="U35" i="88" s="1"/>
  <c r="R35" i="88"/>
  <c r="Q35" i="88"/>
  <c r="R32" i="88"/>
  <c r="S29" i="88"/>
  <c r="U29" i="88" s="1"/>
  <c r="R29" i="88"/>
  <c r="T26" i="88"/>
  <c r="S26" i="88"/>
  <c r="U26" i="88" s="1"/>
  <c r="R26" i="88"/>
  <c r="Q26" i="88"/>
  <c r="T23" i="88"/>
  <c r="S23" i="88"/>
  <c r="U23" i="88" s="1"/>
  <c r="R23" i="88"/>
  <c r="Q23" i="88"/>
  <c r="T19" i="88"/>
  <c r="T18" i="88"/>
  <c r="T17" i="88"/>
  <c r="S17" i="88"/>
  <c r="U17" i="88" s="1"/>
  <c r="R17" i="88"/>
  <c r="Q17" i="88"/>
  <c r="T16" i="88"/>
  <c r="S14" i="88"/>
  <c r="U14" i="88" s="1"/>
  <c r="R14" i="88"/>
  <c r="Q14" i="88"/>
  <c r="T11" i="88"/>
  <c r="S11" i="88"/>
  <c r="U11" i="88" s="1"/>
  <c r="R11" i="88"/>
  <c r="Q11" i="88"/>
  <c r="T10" i="88"/>
  <c r="T9" i="88"/>
  <c r="T8" i="88"/>
  <c r="S8" i="88"/>
  <c r="U8" i="88" s="1"/>
  <c r="R8" i="88"/>
  <c r="Q8" i="88"/>
  <c r="T7" i="88"/>
  <c r="T6" i="88"/>
  <c r="T5" i="88"/>
  <c r="S5" i="88"/>
  <c r="U5" i="88" s="1"/>
  <c r="R5" i="88"/>
  <c r="Q5" i="88"/>
  <c r="T4" i="88"/>
  <c r="G4" i="87"/>
  <c r="G5" i="87"/>
  <c r="G6" i="87"/>
  <c r="G7" i="87"/>
  <c r="G8" i="87"/>
  <c r="G9" i="87"/>
  <c r="R9" i="87" s="1"/>
  <c r="G10" i="87"/>
  <c r="G11" i="87"/>
  <c r="G12" i="87"/>
  <c r="G13" i="87"/>
  <c r="G14" i="87"/>
  <c r="G15" i="87"/>
  <c r="S15" i="87" s="1"/>
  <c r="U15" i="87" s="1"/>
  <c r="G16" i="87"/>
  <c r="G17" i="87"/>
  <c r="G18" i="87"/>
  <c r="G19" i="87"/>
  <c r="G20" i="87"/>
  <c r="G21" i="87"/>
  <c r="T21" i="87" s="1"/>
  <c r="G22" i="87"/>
  <c r="G23" i="87"/>
  <c r="G24" i="87"/>
  <c r="G25" i="87"/>
  <c r="G26" i="87"/>
  <c r="G27" i="87"/>
  <c r="G28" i="87"/>
  <c r="G29" i="87"/>
  <c r="G30" i="87"/>
  <c r="G31" i="87"/>
  <c r="G32" i="87"/>
  <c r="G33" i="87"/>
  <c r="T33" i="87" s="1"/>
  <c r="G34" i="87"/>
  <c r="G35" i="87"/>
  <c r="G36" i="87"/>
  <c r="G37" i="87"/>
  <c r="G38" i="87"/>
  <c r="G39" i="87"/>
  <c r="G3" i="87"/>
  <c r="F4" i="87"/>
  <c r="F5" i="87"/>
  <c r="F6" i="87"/>
  <c r="Q6" i="87" s="1"/>
  <c r="F7" i="87"/>
  <c r="F8" i="87"/>
  <c r="T8" i="87" s="1"/>
  <c r="F9" i="87"/>
  <c r="F10" i="87"/>
  <c r="F11" i="87"/>
  <c r="F12" i="87"/>
  <c r="F13" i="87"/>
  <c r="F14" i="87"/>
  <c r="F15" i="87"/>
  <c r="F16" i="87"/>
  <c r="F17" i="87"/>
  <c r="F18" i="87"/>
  <c r="S18" i="87" s="1"/>
  <c r="U18" i="87" s="1"/>
  <c r="F19" i="87"/>
  <c r="F20" i="87"/>
  <c r="T20" i="87" s="1"/>
  <c r="F21" i="87"/>
  <c r="F22" i="87"/>
  <c r="F23" i="87"/>
  <c r="F24" i="87"/>
  <c r="F25" i="87"/>
  <c r="F26" i="87"/>
  <c r="F27" i="87"/>
  <c r="F28" i="87"/>
  <c r="F29" i="87"/>
  <c r="F30" i="87"/>
  <c r="T30" i="87" s="1"/>
  <c r="F31" i="87"/>
  <c r="F32" i="87"/>
  <c r="R32" i="87" s="1"/>
  <c r="F33" i="87"/>
  <c r="F34" i="87"/>
  <c r="F35" i="87"/>
  <c r="F36" i="87"/>
  <c r="F37" i="87"/>
  <c r="F38" i="87"/>
  <c r="R38" i="87" s="1"/>
  <c r="F39" i="87"/>
  <c r="F3" i="87"/>
  <c r="R3" i="87" s="1"/>
  <c r="E4" i="87"/>
  <c r="E5" i="87"/>
  <c r="T5" i="87" s="1"/>
  <c r="E6" i="87"/>
  <c r="E7" i="87"/>
  <c r="T7" i="87" s="1"/>
  <c r="E8" i="87"/>
  <c r="E9" i="87"/>
  <c r="E10" i="87"/>
  <c r="E11" i="87"/>
  <c r="R11" i="87" s="1"/>
  <c r="E12" i="87"/>
  <c r="Q12" i="87" s="1"/>
  <c r="E13" i="87"/>
  <c r="E14" i="87"/>
  <c r="E15" i="87"/>
  <c r="E16" i="87"/>
  <c r="E17" i="87"/>
  <c r="R17" i="87" s="1"/>
  <c r="E18" i="87"/>
  <c r="E19" i="87"/>
  <c r="R19" i="87" s="1"/>
  <c r="E20" i="87"/>
  <c r="E21" i="87"/>
  <c r="E22" i="87"/>
  <c r="E23" i="87"/>
  <c r="Q23" i="87" s="1"/>
  <c r="E24" i="87"/>
  <c r="E25" i="87"/>
  <c r="R25" i="87" s="1"/>
  <c r="E26" i="87"/>
  <c r="E27" i="87"/>
  <c r="E28" i="87"/>
  <c r="E29" i="87"/>
  <c r="Q29" i="87" s="1"/>
  <c r="E30" i="87"/>
  <c r="E31" i="87"/>
  <c r="T31" i="87" s="1"/>
  <c r="E32" i="87"/>
  <c r="Q32" i="87" s="1"/>
  <c r="E33" i="87"/>
  <c r="E34" i="87"/>
  <c r="E35" i="87"/>
  <c r="Q35" i="87" s="1"/>
  <c r="E36" i="87"/>
  <c r="Q36" i="87" s="1"/>
  <c r="E37" i="87"/>
  <c r="E38" i="87"/>
  <c r="E39" i="87"/>
  <c r="E3" i="87"/>
  <c r="T35" i="87"/>
  <c r="T34" i="87"/>
  <c r="R34" i="87"/>
  <c r="S33" i="87"/>
  <c r="U33" i="87" s="1"/>
  <c r="Q33" i="87"/>
  <c r="R33" i="87"/>
  <c r="S30" i="87"/>
  <c r="U30" i="87" s="1"/>
  <c r="T28" i="87"/>
  <c r="R28" i="87"/>
  <c r="S24" i="87"/>
  <c r="U24" i="87" s="1"/>
  <c r="T22" i="87"/>
  <c r="R22" i="87"/>
  <c r="Q21" i="87"/>
  <c r="T18" i="87"/>
  <c r="Q18" i="87"/>
  <c r="T16" i="87"/>
  <c r="T10" i="87"/>
  <c r="R10" i="87"/>
  <c r="T9" i="87"/>
  <c r="Q8" i="87"/>
  <c r="R8" i="87"/>
  <c r="S6" i="87"/>
  <c r="U6" i="87" s="1"/>
  <c r="R6" i="87"/>
  <c r="Q5" i="87"/>
  <c r="R4" i="87"/>
  <c r="G4" i="83"/>
  <c r="G5" i="83"/>
  <c r="G6" i="83"/>
  <c r="G7" i="83"/>
  <c r="G8" i="83"/>
  <c r="G9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G32" i="83"/>
  <c r="G33" i="83"/>
  <c r="G34" i="83"/>
  <c r="G35" i="83"/>
  <c r="G36" i="83"/>
  <c r="G37" i="83"/>
  <c r="G38" i="83"/>
  <c r="G39" i="83"/>
  <c r="G3" i="83"/>
  <c r="M39" i="86"/>
  <c r="M38" i="86"/>
  <c r="M37" i="86"/>
  <c r="M36" i="86"/>
  <c r="M35" i="86"/>
  <c r="M34" i="86"/>
  <c r="M33" i="86"/>
  <c r="M32" i="86"/>
  <c r="M31" i="86"/>
  <c r="M30" i="86"/>
  <c r="M29" i="86"/>
  <c r="M28" i="86"/>
  <c r="M27" i="86"/>
  <c r="M26" i="86"/>
  <c r="M25" i="86"/>
  <c r="M24" i="86"/>
  <c r="M23" i="86"/>
  <c r="M22" i="86"/>
  <c r="M21" i="86"/>
  <c r="M20" i="86"/>
  <c r="M19" i="86"/>
  <c r="M18" i="86"/>
  <c r="M17" i="86"/>
  <c r="M16" i="86"/>
  <c r="M15" i="86"/>
  <c r="M14" i="86"/>
  <c r="M13" i="86"/>
  <c r="M12" i="86"/>
  <c r="M11" i="86"/>
  <c r="M10" i="86"/>
  <c r="M9" i="86"/>
  <c r="M8" i="86"/>
  <c r="M7" i="86"/>
  <c r="M6" i="86"/>
  <c r="M5" i="86"/>
  <c r="M4" i="86"/>
  <c r="M3" i="86"/>
  <c r="R9" i="90" l="1"/>
  <c r="R33" i="90"/>
  <c r="T36" i="90"/>
  <c r="S24" i="90"/>
  <c r="T12" i="90"/>
  <c r="Q20" i="90"/>
  <c r="R36" i="90"/>
  <c r="R12" i="90"/>
  <c r="T21" i="90"/>
  <c r="S3" i="90"/>
  <c r="Q8" i="90"/>
  <c r="T24" i="90"/>
  <c r="Q32" i="90"/>
  <c r="T31" i="90"/>
  <c r="S27" i="90"/>
  <c r="R23" i="90"/>
  <c r="T19" i="90"/>
  <c r="S15" i="90"/>
  <c r="R11" i="90"/>
  <c r="T7" i="90"/>
  <c r="T13" i="87"/>
  <c r="T12" i="87"/>
  <c r="R31" i="87"/>
  <c r="R5" i="87"/>
  <c r="S9" i="87"/>
  <c r="U9" i="87" s="1"/>
  <c r="Q17" i="87"/>
  <c r="R23" i="87"/>
  <c r="T37" i="87"/>
  <c r="S12" i="87"/>
  <c r="U12" i="87" s="1"/>
  <c r="Q9" i="87"/>
  <c r="T11" i="87"/>
  <c r="T19" i="87"/>
  <c r="T25" i="87"/>
  <c r="T24" i="87"/>
  <c r="R7" i="87"/>
  <c r="Q11" i="87"/>
  <c r="R12" i="87"/>
  <c r="S21" i="87"/>
  <c r="U21" i="87" s="1"/>
  <c r="T29" i="87"/>
  <c r="Q20" i="87"/>
  <c r="S36" i="87"/>
  <c r="U36" i="87" s="1"/>
  <c r="Q30" i="87"/>
  <c r="T6" i="87"/>
  <c r="T36" i="87"/>
  <c r="T3" i="87"/>
  <c r="S15" i="91"/>
  <c r="U15" i="91" s="1"/>
  <c r="S21" i="91"/>
  <c r="U21" i="91" s="1"/>
  <c r="S27" i="91"/>
  <c r="U27" i="91" s="1"/>
  <c r="S33" i="91"/>
  <c r="U33" i="91" s="1"/>
  <c r="S39" i="91"/>
  <c r="U39" i="91" s="1"/>
  <c r="Q11" i="91"/>
  <c r="Q23" i="91"/>
  <c r="Q3" i="91"/>
  <c r="S3" i="91"/>
  <c r="U3" i="91" s="1"/>
  <c r="R3" i="91"/>
  <c r="S5" i="91"/>
  <c r="U5" i="91" s="1"/>
  <c r="S8" i="91"/>
  <c r="U8" i="91" s="1"/>
  <c r="S11" i="91"/>
  <c r="U11" i="91" s="1"/>
  <c r="S14" i="91"/>
  <c r="U14" i="91" s="1"/>
  <c r="S17" i="91"/>
  <c r="U17" i="91" s="1"/>
  <c r="S20" i="91"/>
  <c r="U20" i="91" s="1"/>
  <c r="S23" i="91"/>
  <c r="U23" i="91" s="1"/>
  <c r="S26" i="91"/>
  <c r="U26" i="91" s="1"/>
  <c r="S29" i="91"/>
  <c r="U29" i="91" s="1"/>
  <c r="S32" i="91"/>
  <c r="U32" i="91" s="1"/>
  <c r="S35" i="91"/>
  <c r="U35" i="91" s="1"/>
  <c r="S38" i="91"/>
  <c r="U38" i="91" s="1"/>
  <c r="T5" i="91"/>
  <c r="T8" i="91"/>
  <c r="T11" i="91"/>
  <c r="T14" i="91"/>
  <c r="T17" i="91"/>
  <c r="T20" i="91"/>
  <c r="T23" i="91"/>
  <c r="T26" i="91"/>
  <c r="T29" i="91"/>
  <c r="T32" i="91"/>
  <c r="T35" i="91"/>
  <c r="T38" i="91"/>
  <c r="Q4" i="91"/>
  <c r="Q7" i="91"/>
  <c r="Q10" i="91"/>
  <c r="Q13" i="91"/>
  <c r="Q16" i="91"/>
  <c r="Q19" i="91"/>
  <c r="Q22" i="91"/>
  <c r="Q25" i="91"/>
  <c r="Q28" i="91"/>
  <c r="Q31" i="91"/>
  <c r="Q34" i="91"/>
  <c r="Q37" i="91"/>
  <c r="R4" i="91"/>
  <c r="R7" i="91"/>
  <c r="R10" i="91"/>
  <c r="R13" i="91"/>
  <c r="R16" i="91"/>
  <c r="R19" i="91"/>
  <c r="R22" i="91"/>
  <c r="R25" i="91"/>
  <c r="R28" i="91"/>
  <c r="R31" i="91"/>
  <c r="R34" i="91"/>
  <c r="R37" i="91"/>
  <c r="S4" i="91"/>
  <c r="U4" i="91" s="1"/>
  <c r="S7" i="91"/>
  <c r="U7" i="91" s="1"/>
  <c r="S10" i="91"/>
  <c r="U10" i="91" s="1"/>
  <c r="S13" i="91"/>
  <c r="U13" i="91" s="1"/>
  <c r="S16" i="91"/>
  <c r="U16" i="91" s="1"/>
  <c r="S19" i="91"/>
  <c r="U19" i="91" s="1"/>
  <c r="S22" i="91"/>
  <c r="U22" i="91" s="1"/>
  <c r="S25" i="91"/>
  <c r="U25" i="91" s="1"/>
  <c r="S28" i="91"/>
  <c r="U28" i="91" s="1"/>
  <c r="S31" i="91"/>
  <c r="U31" i="91" s="1"/>
  <c r="S34" i="91"/>
  <c r="U34" i="91" s="1"/>
  <c r="S37" i="91"/>
  <c r="U37" i="91" s="1"/>
  <c r="Q15" i="91"/>
  <c r="Q18" i="91"/>
  <c r="Q21" i="91"/>
  <c r="Q24" i="91"/>
  <c r="Q27" i="91"/>
  <c r="Q30" i="91"/>
  <c r="Q33" i="91"/>
  <c r="Q36" i="91"/>
  <c r="Q39" i="91"/>
  <c r="Q38" i="90"/>
  <c r="T15" i="90"/>
  <c r="T27" i="90"/>
  <c r="T39" i="90"/>
  <c r="R15" i="90"/>
  <c r="R27" i="90"/>
  <c r="R39" i="90"/>
  <c r="Q11" i="90"/>
  <c r="Q23" i="90"/>
  <c r="Q35" i="90"/>
  <c r="T3" i="90"/>
  <c r="R3" i="90"/>
  <c r="S5" i="90"/>
  <c r="S8" i="90"/>
  <c r="S11" i="90"/>
  <c r="S14" i="90"/>
  <c r="S17" i="90"/>
  <c r="S20" i="90"/>
  <c r="S23" i="90"/>
  <c r="S26" i="90"/>
  <c r="S29" i="90"/>
  <c r="S32" i="90"/>
  <c r="S35" i="90"/>
  <c r="S38" i="90"/>
  <c r="T5" i="90"/>
  <c r="T8" i="90"/>
  <c r="T11" i="90"/>
  <c r="T14" i="90"/>
  <c r="T17" i="90"/>
  <c r="T20" i="90"/>
  <c r="T23" i="90"/>
  <c r="T26" i="90"/>
  <c r="T29" i="90"/>
  <c r="T32" i="90"/>
  <c r="T35" i="90"/>
  <c r="T38" i="90"/>
  <c r="Q4" i="90"/>
  <c r="Q7" i="90"/>
  <c r="Q10" i="90"/>
  <c r="Q13" i="90"/>
  <c r="Q16" i="90"/>
  <c r="Q19" i="90"/>
  <c r="Q22" i="90"/>
  <c r="Q25" i="90"/>
  <c r="Q28" i="90"/>
  <c r="Q31" i="90"/>
  <c r="Q34" i="90"/>
  <c r="Q37" i="90"/>
  <c r="R4" i="90"/>
  <c r="R7" i="90"/>
  <c r="R10" i="90"/>
  <c r="R13" i="90"/>
  <c r="R16" i="90"/>
  <c r="R19" i="90"/>
  <c r="R22" i="90"/>
  <c r="R25" i="90"/>
  <c r="R28" i="90"/>
  <c r="R31" i="90"/>
  <c r="R34" i="90"/>
  <c r="R37" i="90"/>
  <c r="S4" i="90"/>
  <c r="S7" i="90"/>
  <c r="S10" i="90"/>
  <c r="S13" i="90"/>
  <c r="S16" i="90"/>
  <c r="S19" i="90"/>
  <c r="S22" i="90"/>
  <c r="S25" i="90"/>
  <c r="S28" i="90"/>
  <c r="S31" i="90"/>
  <c r="S34" i="90"/>
  <c r="S37" i="90"/>
  <c r="Q3" i="90"/>
  <c r="Q6" i="90"/>
  <c r="Q9" i="90"/>
  <c r="Q12" i="90"/>
  <c r="Q15" i="90"/>
  <c r="Q18" i="90"/>
  <c r="Q21" i="90"/>
  <c r="Q24" i="90"/>
  <c r="Q27" i="90"/>
  <c r="Q30" i="90"/>
  <c r="Q33" i="90"/>
  <c r="Q36" i="90"/>
  <c r="Q39" i="90"/>
  <c r="Q11" i="89"/>
  <c r="T11" i="89"/>
  <c r="T17" i="89"/>
  <c r="S27" i="89"/>
  <c r="U27" i="89" s="1"/>
  <c r="S12" i="89"/>
  <c r="U12" i="89" s="1"/>
  <c r="R17" i="89"/>
  <c r="Q23" i="89"/>
  <c r="R23" i="89"/>
  <c r="T35" i="89"/>
  <c r="T38" i="89"/>
  <c r="Q4" i="89"/>
  <c r="Q7" i="89"/>
  <c r="Q10" i="89"/>
  <c r="Q13" i="89"/>
  <c r="Q16" i="89"/>
  <c r="Q19" i="89"/>
  <c r="Q22" i="89"/>
  <c r="Q25" i="89"/>
  <c r="Q28" i="89"/>
  <c r="Q31" i="89"/>
  <c r="Q34" i="89"/>
  <c r="Q37" i="89"/>
  <c r="R4" i="89"/>
  <c r="R7" i="89"/>
  <c r="R10" i="89"/>
  <c r="R13" i="89"/>
  <c r="R16" i="89"/>
  <c r="R19" i="89"/>
  <c r="R22" i="89"/>
  <c r="R25" i="89"/>
  <c r="R28" i="89"/>
  <c r="R31" i="89"/>
  <c r="R34" i="89"/>
  <c r="R37" i="89"/>
  <c r="S4" i="89"/>
  <c r="U4" i="89" s="1"/>
  <c r="S7" i="89"/>
  <c r="U7" i="89" s="1"/>
  <c r="S10" i="89"/>
  <c r="U10" i="89" s="1"/>
  <c r="S13" i="89"/>
  <c r="U13" i="89" s="1"/>
  <c r="S16" i="89"/>
  <c r="U16" i="89" s="1"/>
  <c r="S19" i="89"/>
  <c r="U19" i="89" s="1"/>
  <c r="S22" i="89"/>
  <c r="U22" i="89" s="1"/>
  <c r="S25" i="89"/>
  <c r="U25" i="89" s="1"/>
  <c r="S28" i="89"/>
  <c r="U28" i="89" s="1"/>
  <c r="S31" i="89"/>
  <c r="U31" i="89" s="1"/>
  <c r="S34" i="89"/>
  <c r="U34" i="89" s="1"/>
  <c r="S37" i="89"/>
  <c r="U37" i="89" s="1"/>
  <c r="Q3" i="89"/>
  <c r="Q6" i="89"/>
  <c r="Q9" i="89"/>
  <c r="Q12" i="89"/>
  <c r="Q15" i="89"/>
  <c r="Q18" i="89"/>
  <c r="Q21" i="89"/>
  <c r="Q24" i="89"/>
  <c r="Q27" i="89"/>
  <c r="Q30" i="89"/>
  <c r="Q33" i="89"/>
  <c r="Q36" i="89"/>
  <c r="Q39" i="89"/>
  <c r="R3" i="89"/>
  <c r="R6" i="89"/>
  <c r="R9" i="89"/>
  <c r="R12" i="89"/>
  <c r="R15" i="89"/>
  <c r="R18" i="89"/>
  <c r="R21" i="89"/>
  <c r="R24" i="89"/>
  <c r="R27" i="89"/>
  <c r="R30" i="89"/>
  <c r="R33" i="89"/>
  <c r="R36" i="89"/>
  <c r="R39" i="89"/>
  <c r="Q20" i="88"/>
  <c r="R20" i="88"/>
  <c r="S20" i="88"/>
  <c r="U20" i="88" s="1"/>
  <c r="Q32" i="88"/>
  <c r="S32" i="88"/>
  <c r="U32" i="88" s="1"/>
  <c r="T37" i="88"/>
  <c r="T25" i="88"/>
  <c r="T13" i="88"/>
  <c r="T33" i="88"/>
  <c r="R38" i="88"/>
  <c r="T30" i="88"/>
  <c r="T39" i="88"/>
  <c r="Q38" i="88"/>
  <c r="Q4" i="88"/>
  <c r="Q7" i="88"/>
  <c r="Q10" i="88"/>
  <c r="Q13" i="88"/>
  <c r="Q16" i="88"/>
  <c r="Q19" i="88"/>
  <c r="Q22" i="88"/>
  <c r="Q25" i="88"/>
  <c r="Q28" i="88"/>
  <c r="Q31" i="88"/>
  <c r="Q34" i="88"/>
  <c r="Q37" i="88"/>
  <c r="R4" i="88"/>
  <c r="R7" i="88"/>
  <c r="R10" i="88"/>
  <c r="R13" i="88"/>
  <c r="R16" i="88"/>
  <c r="R19" i="88"/>
  <c r="R22" i="88"/>
  <c r="R25" i="88"/>
  <c r="R28" i="88"/>
  <c r="R31" i="88"/>
  <c r="R34" i="88"/>
  <c r="R37" i="88"/>
  <c r="S4" i="88"/>
  <c r="U4" i="88" s="1"/>
  <c r="S7" i="88"/>
  <c r="U7" i="88" s="1"/>
  <c r="S10" i="88"/>
  <c r="U10" i="88" s="1"/>
  <c r="S13" i="88"/>
  <c r="U13" i="88" s="1"/>
  <c r="S16" i="88"/>
  <c r="U16" i="88" s="1"/>
  <c r="S19" i="88"/>
  <c r="U19" i="88" s="1"/>
  <c r="S22" i="88"/>
  <c r="U22" i="88" s="1"/>
  <c r="S25" i="88"/>
  <c r="U25" i="88" s="1"/>
  <c r="S28" i="88"/>
  <c r="U28" i="88" s="1"/>
  <c r="S31" i="88"/>
  <c r="U31" i="88" s="1"/>
  <c r="S34" i="88"/>
  <c r="U34" i="88" s="1"/>
  <c r="S37" i="88"/>
  <c r="U37" i="88" s="1"/>
  <c r="Q3" i="88"/>
  <c r="Q6" i="88"/>
  <c r="Q9" i="88"/>
  <c r="Q12" i="88"/>
  <c r="Q15" i="88"/>
  <c r="Q18" i="88"/>
  <c r="Q21" i="88"/>
  <c r="Q24" i="88"/>
  <c r="Q27" i="88"/>
  <c r="Q30" i="88"/>
  <c r="Q33" i="88"/>
  <c r="Q36" i="88"/>
  <c r="Q39" i="88"/>
  <c r="R3" i="88"/>
  <c r="R6" i="88"/>
  <c r="R9" i="88"/>
  <c r="R12" i="88"/>
  <c r="R15" i="88"/>
  <c r="R18" i="88"/>
  <c r="R21" i="88"/>
  <c r="R24" i="88"/>
  <c r="R27" i="88"/>
  <c r="R30" i="88"/>
  <c r="R33" i="88"/>
  <c r="R36" i="88"/>
  <c r="R39" i="88"/>
  <c r="S3" i="88"/>
  <c r="U3" i="88" s="1"/>
  <c r="S6" i="88"/>
  <c r="U6" i="88" s="1"/>
  <c r="S9" i="88"/>
  <c r="U9" i="88" s="1"/>
  <c r="S12" i="88"/>
  <c r="U12" i="88" s="1"/>
  <c r="S15" i="88"/>
  <c r="U15" i="88" s="1"/>
  <c r="S18" i="88"/>
  <c r="U18" i="88" s="1"/>
  <c r="S21" i="88"/>
  <c r="U21" i="88" s="1"/>
  <c r="S24" i="88"/>
  <c r="U24" i="88" s="1"/>
  <c r="S27" i="88"/>
  <c r="U27" i="88" s="1"/>
  <c r="S30" i="88"/>
  <c r="U30" i="88" s="1"/>
  <c r="S33" i="88"/>
  <c r="U33" i="88" s="1"/>
  <c r="S36" i="88"/>
  <c r="U36" i="88" s="1"/>
  <c r="S39" i="88"/>
  <c r="U39" i="88" s="1"/>
  <c r="R16" i="87"/>
  <c r="Q38" i="87"/>
  <c r="Q26" i="87"/>
  <c r="Q14" i="87"/>
  <c r="R37" i="87"/>
  <c r="R13" i="87"/>
  <c r="Q24" i="87"/>
  <c r="T39" i="87"/>
  <c r="T27" i="87"/>
  <c r="Q15" i="87"/>
  <c r="S3" i="87"/>
  <c r="U3" i="87" s="1"/>
  <c r="T15" i="87"/>
  <c r="R29" i="87"/>
  <c r="R35" i="87"/>
  <c r="R26" i="87"/>
  <c r="T32" i="87"/>
  <c r="T38" i="87"/>
  <c r="R20" i="87"/>
  <c r="T26" i="87"/>
  <c r="T23" i="87"/>
  <c r="R39" i="87"/>
  <c r="R14" i="87"/>
  <c r="Q39" i="87"/>
  <c r="T4" i="87"/>
  <c r="T17" i="87"/>
  <c r="S27" i="87"/>
  <c r="U27" i="87" s="1"/>
  <c r="S39" i="87"/>
  <c r="U39" i="87" s="1"/>
  <c r="T14" i="87"/>
  <c r="Q27" i="87"/>
  <c r="R15" i="87"/>
  <c r="Q3" i="87"/>
  <c r="S5" i="87"/>
  <c r="U5" i="87" s="1"/>
  <c r="S8" i="87"/>
  <c r="U8" i="87" s="1"/>
  <c r="S11" i="87"/>
  <c r="U11" i="87" s="1"/>
  <c r="S14" i="87"/>
  <c r="U14" i="87" s="1"/>
  <c r="S17" i="87"/>
  <c r="U17" i="87" s="1"/>
  <c r="S20" i="87"/>
  <c r="U20" i="87" s="1"/>
  <c r="S23" i="87"/>
  <c r="U23" i="87" s="1"/>
  <c r="S26" i="87"/>
  <c r="U26" i="87" s="1"/>
  <c r="S29" i="87"/>
  <c r="U29" i="87" s="1"/>
  <c r="S32" i="87"/>
  <c r="U32" i="87" s="1"/>
  <c r="S35" i="87"/>
  <c r="U35" i="87" s="1"/>
  <c r="S38" i="87"/>
  <c r="U38" i="87" s="1"/>
  <c r="Q4" i="87"/>
  <c r="Q7" i="87"/>
  <c r="Q10" i="87"/>
  <c r="Q13" i="87"/>
  <c r="Q16" i="87"/>
  <c r="Q19" i="87"/>
  <c r="Q22" i="87"/>
  <c r="Q25" i="87"/>
  <c r="Q28" i="87"/>
  <c r="Q31" i="87"/>
  <c r="Q34" i="87"/>
  <c r="Q37" i="87"/>
  <c r="S4" i="87"/>
  <c r="U4" i="87" s="1"/>
  <c r="S7" i="87"/>
  <c r="U7" i="87" s="1"/>
  <c r="S10" i="87"/>
  <c r="U10" i="87" s="1"/>
  <c r="S13" i="87"/>
  <c r="U13" i="87" s="1"/>
  <c r="S16" i="87"/>
  <c r="U16" i="87" s="1"/>
  <c r="S19" i="87"/>
  <c r="U19" i="87" s="1"/>
  <c r="S22" i="87"/>
  <c r="U22" i="87" s="1"/>
  <c r="S25" i="87"/>
  <c r="U25" i="87" s="1"/>
  <c r="S28" i="87"/>
  <c r="U28" i="87" s="1"/>
  <c r="S31" i="87"/>
  <c r="U31" i="87" s="1"/>
  <c r="S34" i="87"/>
  <c r="U34" i="87" s="1"/>
  <c r="S37" i="87"/>
  <c r="U37" i="87" s="1"/>
  <c r="R18" i="87"/>
  <c r="R21" i="87"/>
  <c r="R24" i="87"/>
  <c r="R27" i="87"/>
  <c r="R30" i="87"/>
  <c r="R36" i="87"/>
  <c r="F4" i="83" l="1"/>
  <c r="F5" i="83"/>
  <c r="F6" i="83"/>
  <c r="F7" i="83"/>
  <c r="F8" i="83"/>
  <c r="F9" i="83"/>
  <c r="F10" i="83"/>
  <c r="F11" i="83"/>
  <c r="F12" i="83"/>
  <c r="F13" i="83"/>
  <c r="F14" i="83"/>
  <c r="F15" i="83"/>
  <c r="F16" i="83"/>
  <c r="F17" i="83"/>
  <c r="F18" i="83"/>
  <c r="F19" i="83"/>
  <c r="F20" i="83"/>
  <c r="F21" i="83"/>
  <c r="F22" i="83"/>
  <c r="F23" i="83"/>
  <c r="F24" i="83"/>
  <c r="F25" i="83"/>
  <c r="F26" i="83"/>
  <c r="F27" i="83"/>
  <c r="F28" i="83"/>
  <c r="F29" i="83"/>
  <c r="F30" i="83"/>
  <c r="F31" i="83"/>
  <c r="F32" i="83"/>
  <c r="F33" i="83"/>
  <c r="F34" i="83"/>
  <c r="F35" i="83"/>
  <c r="F36" i="83"/>
  <c r="F37" i="83"/>
  <c r="F38" i="83"/>
  <c r="F39" i="83"/>
  <c r="F3" i="83"/>
  <c r="M39" i="84"/>
  <c r="M38" i="84"/>
  <c r="M37" i="84"/>
  <c r="M36" i="84"/>
  <c r="M35" i="84"/>
  <c r="M34" i="84"/>
  <c r="M33" i="84"/>
  <c r="M32" i="84"/>
  <c r="M31" i="84"/>
  <c r="M30" i="84"/>
  <c r="M29" i="84"/>
  <c r="M28" i="84"/>
  <c r="M27" i="84"/>
  <c r="M26" i="84"/>
  <c r="M25" i="84"/>
  <c r="M24" i="84"/>
  <c r="M23" i="84"/>
  <c r="M22" i="84"/>
  <c r="M21" i="84"/>
  <c r="M20" i="84"/>
  <c r="M19" i="84"/>
  <c r="M18" i="84"/>
  <c r="M17" i="84"/>
  <c r="M16" i="84"/>
  <c r="M15" i="84"/>
  <c r="M14" i="84"/>
  <c r="M13" i="84"/>
  <c r="M12" i="84"/>
  <c r="M11" i="84"/>
  <c r="M10" i="84"/>
  <c r="M9" i="84"/>
  <c r="M8" i="84"/>
  <c r="M7" i="84"/>
  <c r="M6" i="84"/>
  <c r="M5" i="84"/>
  <c r="M4" i="84"/>
  <c r="M3" i="84"/>
  <c r="E4" i="83" l="1"/>
  <c r="Q4" i="83" s="1"/>
  <c r="E5" i="83"/>
  <c r="Q5" i="83" s="1"/>
  <c r="E6" i="83"/>
  <c r="Q6" i="83" s="1"/>
  <c r="E7" i="83"/>
  <c r="Q7" i="83" s="1"/>
  <c r="E8" i="83"/>
  <c r="Q8" i="83" s="1"/>
  <c r="E9" i="83"/>
  <c r="Q9" i="83" s="1"/>
  <c r="E10" i="83"/>
  <c r="Q10" i="83" s="1"/>
  <c r="E11" i="83"/>
  <c r="Q11" i="83" s="1"/>
  <c r="E12" i="83"/>
  <c r="Q12" i="83" s="1"/>
  <c r="E13" i="83"/>
  <c r="Q13" i="83" s="1"/>
  <c r="E14" i="83"/>
  <c r="Q14" i="83" s="1"/>
  <c r="E15" i="83"/>
  <c r="Q15" i="83" s="1"/>
  <c r="E16" i="83"/>
  <c r="Q16" i="83" s="1"/>
  <c r="E17" i="83"/>
  <c r="Q17" i="83" s="1"/>
  <c r="E18" i="83"/>
  <c r="Q18" i="83" s="1"/>
  <c r="E19" i="83"/>
  <c r="Q19" i="83" s="1"/>
  <c r="E20" i="83"/>
  <c r="Q20" i="83" s="1"/>
  <c r="E21" i="83"/>
  <c r="Q21" i="83" s="1"/>
  <c r="E22" i="83"/>
  <c r="Q22" i="83" s="1"/>
  <c r="E23" i="83"/>
  <c r="Q23" i="83" s="1"/>
  <c r="E24" i="83"/>
  <c r="Q24" i="83" s="1"/>
  <c r="E25" i="83"/>
  <c r="Q25" i="83" s="1"/>
  <c r="E26" i="83"/>
  <c r="Q26" i="83" s="1"/>
  <c r="E27" i="83"/>
  <c r="Q27" i="83" s="1"/>
  <c r="E28" i="83"/>
  <c r="L47" i="92" s="1"/>
  <c r="E29" i="83"/>
  <c r="Q29" i="83" s="1"/>
  <c r="E30" i="83"/>
  <c r="Q30" i="83" s="1"/>
  <c r="E31" i="83"/>
  <c r="Q31" i="83" s="1"/>
  <c r="E32" i="83"/>
  <c r="Q32" i="83" s="1"/>
  <c r="E33" i="83"/>
  <c r="Q33" i="83" s="1"/>
  <c r="E34" i="83"/>
  <c r="E35" i="83"/>
  <c r="Q35" i="83" s="1"/>
  <c r="E36" i="83"/>
  <c r="Q36" i="83" s="1"/>
  <c r="E37" i="83"/>
  <c r="Q37" i="83" s="1"/>
  <c r="E38" i="83"/>
  <c r="Q38" i="83" s="1"/>
  <c r="E39" i="83"/>
  <c r="S39" i="83" s="1"/>
  <c r="M36" i="50"/>
  <c r="V39" i="83" l="1"/>
  <c r="L69" i="92"/>
  <c r="S34" i="83"/>
  <c r="L57" i="92" s="1"/>
  <c r="Q34" i="83"/>
  <c r="T39" i="83"/>
  <c r="Q28" i="83"/>
  <c r="R39" i="83"/>
  <c r="Q39" i="83"/>
  <c r="E3" i="83"/>
  <c r="Q3" i="83" s="1"/>
  <c r="S6" i="83" l="1"/>
  <c r="L10" i="92" s="1"/>
  <c r="S16" i="83"/>
  <c r="L30" i="92" s="1"/>
  <c r="S27" i="83"/>
  <c r="L46" i="92" s="1"/>
  <c r="S29" i="83" l="1"/>
  <c r="L48" i="92" s="1"/>
  <c r="S32" i="83"/>
  <c r="S9" i="83"/>
  <c r="V6" i="83"/>
  <c r="V9" i="83" l="1"/>
  <c r="L16" i="92"/>
  <c r="V32" i="83"/>
  <c r="L51" i="92"/>
  <c r="T38" i="83"/>
  <c r="S38" i="83"/>
  <c r="R38" i="83"/>
  <c r="T37" i="83"/>
  <c r="S37" i="83"/>
  <c r="R37" i="83"/>
  <c r="T36" i="83"/>
  <c r="S36" i="83"/>
  <c r="R36" i="83"/>
  <c r="T35" i="83"/>
  <c r="S35" i="83"/>
  <c r="R35" i="83"/>
  <c r="T34" i="83"/>
  <c r="V34" i="83"/>
  <c r="R34" i="83"/>
  <c r="T33" i="83"/>
  <c r="S33" i="83"/>
  <c r="R33" i="83"/>
  <c r="T32" i="83"/>
  <c r="R32" i="83"/>
  <c r="T31" i="83"/>
  <c r="S31" i="83"/>
  <c r="R31" i="83"/>
  <c r="T30" i="83"/>
  <c r="S30" i="83"/>
  <c r="R30" i="83"/>
  <c r="T29" i="83"/>
  <c r="V29" i="83"/>
  <c r="R29" i="83"/>
  <c r="T28" i="83"/>
  <c r="V28" i="83"/>
  <c r="R28" i="83"/>
  <c r="T27" i="83"/>
  <c r="V27" i="83"/>
  <c r="R27" i="83"/>
  <c r="T26" i="83"/>
  <c r="S26" i="83"/>
  <c r="R26" i="83"/>
  <c r="T25" i="83"/>
  <c r="S25" i="83"/>
  <c r="R25" i="83"/>
  <c r="T24" i="83"/>
  <c r="S24" i="83"/>
  <c r="R24" i="83"/>
  <c r="R23" i="83"/>
  <c r="T22" i="83"/>
  <c r="S22" i="83"/>
  <c r="R22" i="83"/>
  <c r="T21" i="83"/>
  <c r="S21" i="83"/>
  <c r="R21" i="83"/>
  <c r="T20" i="83"/>
  <c r="S20" i="83"/>
  <c r="R20" i="83"/>
  <c r="T19" i="83"/>
  <c r="S19" i="83"/>
  <c r="R19" i="83"/>
  <c r="T18" i="83"/>
  <c r="S18" i="83"/>
  <c r="R18" i="83"/>
  <c r="T17" i="83"/>
  <c r="S17" i="83"/>
  <c r="R17" i="83"/>
  <c r="T16" i="83"/>
  <c r="V16" i="83"/>
  <c r="R16" i="83"/>
  <c r="T15" i="83"/>
  <c r="S15" i="83"/>
  <c r="R15" i="83"/>
  <c r="T14" i="83"/>
  <c r="S14" i="83"/>
  <c r="R14" i="83"/>
  <c r="T13" i="83"/>
  <c r="S13" i="83"/>
  <c r="R13" i="83"/>
  <c r="T12" i="83"/>
  <c r="S12" i="83"/>
  <c r="R12" i="83"/>
  <c r="T11" i="83"/>
  <c r="S11" i="83"/>
  <c r="R11" i="83"/>
  <c r="T10" i="83"/>
  <c r="S10" i="83"/>
  <c r="R10" i="83"/>
  <c r="T9" i="83"/>
  <c r="R9" i="83"/>
  <c r="T8" i="83"/>
  <c r="S8" i="83"/>
  <c r="R8" i="83"/>
  <c r="T7" i="83"/>
  <c r="S7" i="83"/>
  <c r="R7" i="83"/>
  <c r="T6" i="83"/>
  <c r="R6" i="83"/>
  <c r="T5" i="83"/>
  <c r="S5" i="83"/>
  <c r="R5" i="83"/>
  <c r="T4" i="83"/>
  <c r="S4" i="83"/>
  <c r="R4" i="83"/>
  <c r="T3" i="83"/>
  <c r="S3" i="83"/>
  <c r="R3" i="83"/>
  <c r="V33" i="83" l="1"/>
  <c r="L52" i="92"/>
  <c r="V37" i="83"/>
  <c r="L61" i="92"/>
  <c r="V8" i="83"/>
  <c r="L15" i="92"/>
  <c r="V13" i="83"/>
  <c r="L26" i="92"/>
  <c r="V17" i="83"/>
  <c r="L31" i="92"/>
  <c r="V21" i="83"/>
  <c r="L38" i="92"/>
  <c r="V25" i="83"/>
  <c r="L43" i="92"/>
  <c r="V36" i="83"/>
  <c r="L60" i="92"/>
  <c r="V12" i="83"/>
  <c r="L25" i="92"/>
  <c r="V4" i="83"/>
  <c r="L5" i="92"/>
  <c r="V5" i="83"/>
  <c r="L6" i="92"/>
  <c r="V38" i="83"/>
  <c r="L63" i="92"/>
  <c r="V10" i="83"/>
  <c r="L21" i="92"/>
  <c r="V14" i="83"/>
  <c r="L28" i="92"/>
  <c r="V18" i="83"/>
  <c r="L32" i="92"/>
  <c r="V22" i="83"/>
  <c r="L39" i="92"/>
  <c r="V26" i="83"/>
  <c r="L45" i="92"/>
  <c r="V30" i="83"/>
  <c r="L49" i="92"/>
  <c r="V7" i="83"/>
  <c r="L14" i="92"/>
  <c r="V20" i="83"/>
  <c r="L37" i="92"/>
  <c r="V35" i="83"/>
  <c r="L59" i="92"/>
  <c r="V24" i="83"/>
  <c r="L42" i="92"/>
  <c r="V11" i="83"/>
  <c r="L22" i="92"/>
  <c r="V15" i="83"/>
  <c r="L29" i="92"/>
  <c r="V19" i="83"/>
  <c r="L34" i="92"/>
  <c r="V23" i="83"/>
  <c r="L40" i="92"/>
  <c r="V31" i="83"/>
  <c r="L50" i="92"/>
  <c r="V3" i="83"/>
  <c r="L4" i="92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8" i="50"/>
  <c r="M29" i="50"/>
  <c r="M30" i="50"/>
  <c r="M31" i="50"/>
  <c r="M32" i="50"/>
  <c r="M33" i="50"/>
  <c r="M34" i="50"/>
  <c r="M35" i="50"/>
  <c r="M37" i="50"/>
  <c r="M38" i="50"/>
  <c r="M39" i="50"/>
  <c r="M4" i="50"/>
  <c r="M5" i="50"/>
  <c r="M6" i="50"/>
  <c r="M10" i="50" l="1"/>
  <c r="M9" i="50"/>
  <c r="M8" i="50"/>
  <c r="M7" i="50"/>
  <c r="M3" i="50"/>
</calcChain>
</file>

<file path=xl/sharedStrings.xml><?xml version="1.0" encoding="utf-8"?>
<sst xmlns="http://schemas.openxmlformats.org/spreadsheetml/2006/main" count="1997" uniqueCount="269">
  <si>
    <t>시료번호</t>
  </si>
  <si>
    <t>주 소</t>
  </si>
  <si>
    <t>TOC</t>
  </si>
  <si>
    <t>BOD</t>
  </si>
  <si>
    <t>SS</t>
  </si>
  <si>
    <t>T-N</t>
  </si>
  <si>
    <t>T-P</t>
  </si>
  <si>
    <t>색도</t>
  </si>
  <si>
    <t>한탄강 연1</t>
  </si>
  <si>
    <t>한탄강 연2</t>
  </si>
  <si>
    <t>한탄강 연4</t>
  </si>
  <si>
    <t>포천천2</t>
  </si>
  <si>
    <t>포천천3</t>
  </si>
  <si>
    <t>영평천2</t>
  </si>
  <si>
    <t>영평천3</t>
  </si>
  <si>
    <t>영평천4</t>
  </si>
  <si>
    <t>영평천5</t>
  </si>
  <si>
    <t>외북천3</t>
  </si>
  <si>
    <t>신천5</t>
  </si>
  <si>
    <t>신천중류</t>
  </si>
  <si>
    <t>신천11</t>
  </si>
  <si>
    <t>신천13</t>
  </si>
  <si>
    <t>신천15</t>
  </si>
  <si>
    <t>신천17</t>
  </si>
  <si>
    <t>동두천시 하봉암동 340-1 인근</t>
  </si>
  <si>
    <t>신천18</t>
  </si>
  <si>
    <t>연천군 청산면 초성리 142-5(신천교)</t>
  </si>
  <si>
    <t>신천18-1</t>
  </si>
  <si>
    <t>신천20</t>
  </si>
  <si>
    <t>청담천</t>
  </si>
  <si>
    <t>양주시 백석읍 방성리 205-12</t>
  </si>
  <si>
    <t>효촌천</t>
  </si>
  <si>
    <t>양주시 남면 상수리 264</t>
  </si>
  <si>
    <t>연번</t>
    <phoneticPr fontId="2" type="noConversion"/>
  </si>
  <si>
    <t>하천명</t>
    <phoneticPr fontId="2" type="noConversion"/>
  </si>
  <si>
    <t>금현천</t>
    <phoneticPr fontId="2" type="noConversion"/>
  </si>
  <si>
    <t>수입천</t>
    <phoneticPr fontId="2" type="noConversion"/>
  </si>
  <si>
    <t>상패천</t>
    <phoneticPr fontId="2" type="noConversion"/>
  </si>
  <si>
    <t>한탄강1</t>
    <phoneticPr fontId="2" type="noConversion"/>
  </si>
  <si>
    <t>포천천1</t>
    <phoneticPr fontId="2" type="noConversion"/>
  </si>
  <si>
    <t>영평천1</t>
    <phoneticPr fontId="2" type="noConversion"/>
  </si>
  <si>
    <t>외북천2</t>
    <phoneticPr fontId="2" type="noConversion"/>
  </si>
  <si>
    <t>신천1</t>
    <phoneticPr fontId="2" type="noConversion"/>
  </si>
  <si>
    <t>능안천</t>
    <phoneticPr fontId="2" type="noConversion"/>
  </si>
  <si>
    <t>COD</t>
    <phoneticPr fontId="2" type="noConversion"/>
  </si>
  <si>
    <t>시료채취일</t>
    <phoneticPr fontId="2" type="noConversion"/>
  </si>
  <si>
    <t>포천시 창수면 운산리 영로교 아래</t>
    <phoneticPr fontId="2" type="noConversion"/>
  </si>
  <si>
    <t>연천군 전곡읍 신답리 1(영평천 합류전)</t>
    <phoneticPr fontId="2" type="noConversion"/>
  </si>
  <si>
    <t>연천군 청산면 궁평리 561-1(영평천 합류후)</t>
    <phoneticPr fontId="2" type="noConversion"/>
  </si>
  <si>
    <t>포천시 소흘읍 무봉리 이동교리교 (포천천 상류,부인터사거리 뒤)</t>
    <phoneticPr fontId="2" type="noConversion"/>
  </si>
  <si>
    <t>포천시 영중면 거사3리 농본교(포천천 하류)</t>
    <phoneticPr fontId="2" type="noConversion"/>
  </si>
  <si>
    <t>포천시 가산면 마산리 금현천교 아래(세창아파트 뒤)</t>
    <phoneticPr fontId="2" type="noConversion"/>
  </si>
  <si>
    <t>포천시 이동면 노곡리 낭유대교 아래(영평천 상류)</t>
    <phoneticPr fontId="2" type="noConversion"/>
  </si>
  <si>
    <t>포천시 영중면 성동리 와룡교 아래(수입천 합류 후)</t>
    <phoneticPr fontId="2" type="noConversion"/>
  </si>
  <si>
    <t>포천시 영중면 영송리 영평교 아래(포천천 합류 후)</t>
    <phoneticPr fontId="2" type="noConversion"/>
  </si>
  <si>
    <t>포천시 창수면 오가리 오가교 아래(외북천 합류 후)</t>
    <phoneticPr fontId="2" type="noConversion"/>
  </si>
  <si>
    <t>포천시 영중면 영송리 통일교 아래(외북천 중류)</t>
    <phoneticPr fontId="2" type="noConversion"/>
  </si>
  <si>
    <t>포천시 영중면 영송리 두엄바이오 앞 (외북천 하류)</t>
    <phoneticPr fontId="2" type="noConversion"/>
  </si>
  <si>
    <t>포천시 일동면 사직리 1390-5(일이동처리장 입구)</t>
    <phoneticPr fontId="2" type="noConversion"/>
  </si>
  <si>
    <t>양주시 은현면 운암리 60-15(은현교)</t>
    <phoneticPr fontId="2" type="noConversion"/>
  </si>
  <si>
    <t>양주시 은현면 용암리 240-1(위생환경사업소앞)</t>
    <phoneticPr fontId="2" type="noConversion"/>
  </si>
  <si>
    <t>동두천시 보산동 429-48 인근 진검다리</t>
    <phoneticPr fontId="2" type="noConversion"/>
  </si>
  <si>
    <t>연천군 청산면 초성리 426, 초성교(시군경계)</t>
    <phoneticPr fontId="2" type="noConversion"/>
  </si>
  <si>
    <t>신천9</t>
    <phoneticPr fontId="2" type="noConversion"/>
  </si>
  <si>
    <t>신천17-2</t>
    <phoneticPr fontId="2" type="noConversion"/>
  </si>
  <si>
    <t>송우천</t>
    <phoneticPr fontId="2" type="noConversion"/>
  </si>
  <si>
    <t>1)한탄강</t>
    <phoneticPr fontId="2" type="noConversion"/>
  </si>
  <si>
    <t>요일</t>
    <phoneticPr fontId="2" type="noConversion"/>
  </si>
  <si>
    <t>8월</t>
    <phoneticPr fontId="2" type="noConversion"/>
  </si>
  <si>
    <t>1월</t>
    <phoneticPr fontId="2" type="noConversion"/>
  </si>
  <si>
    <t>2월</t>
    <phoneticPr fontId="2" type="noConversion"/>
  </si>
  <si>
    <t>3월</t>
  </si>
  <si>
    <t>4월</t>
  </si>
  <si>
    <t>5월</t>
  </si>
  <si>
    <t>6월</t>
  </si>
  <si>
    <t>7월</t>
  </si>
  <si>
    <t>평균</t>
    <phoneticPr fontId="2" type="noConversion"/>
  </si>
  <si>
    <t>편차</t>
    <phoneticPr fontId="2" type="noConversion"/>
  </si>
  <si>
    <t>최대</t>
    <phoneticPr fontId="2" type="noConversion"/>
  </si>
  <si>
    <t>최소</t>
    <phoneticPr fontId="2" type="noConversion"/>
  </si>
  <si>
    <t>양주시 고암동 211-1</t>
  </si>
  <si>
    <t>9월</t>
  </si>
  <si>
    <t>10월</t>
  </si>
  <si>
    <t>11월</t>
  </si>
  <si>
    <t>12월</t>
  </si>
  <si>
    <t>포천시 송우리 641-92(송우교 아래)</t>
    <phoneticPr fontId="2" type="noConversion"/>
  </si>
  <si>
    <t>포천시 창수면 고소성리 백의교(포천-연천 경계 / 영평천 하류)</t>
    <phoneticPr fontId="2" type="noConversion"/>
  </si>
  <si>
    <t>용암교</t>
    <phoneticPr fontId="2" type="noConversion"/>
  </si>
  <si>
    <t>양주시 은현면 용암리 241-1(구 세월교)</t>
    <phoneticPr fontId="2" type="noConversion"/>
  </si>
  <si>
    <t>동두천시 하봉암동 327-1(하봉암교)</t>
    <phoneticPr fontId="2" type="noConversion"/>
  </si>
  <si>
    <t>연천군 청산면 초성리 306-5(대전교)</t>
    <phoneticPr fontId="2" type="noConversion"/>
  </si>
  <si>
    <t>동두천시 송내동 651-3(현대아이파크 앞)</t>
    <phoneticPr fontId="2" type="noConversion"/>
  </si>
  <si>
    <t>동두천시 상패동 307-7 인근 (강변교 아래) (신천 합류 전)</t>
    <phoneticPr fontId="2" type="noConversion"/>
  </si>
  <si>
    <t>양주시 백석읍 오산리 137-2(신천-오산리_방성천 합류 전)</t>
    <phoneticPr fontId="2" type="noConversion"/>
  </si>
  <si>
    <t>양주시 남면 상수리 104-39(입암천 합류 전)</t>
    <phoneticPr fontId="2" type="noConversion"/>
  </si>
  <si>
    <t>양주시 광적면 가납리 710(신천-우고천 합류 후)</t>
    <phoneticPr fontId="2" type="noConversion"/>
  </si>
  <si>
    <t>포천시 신읍동 한내교 아래(실제 가스충전소 뒤 / 중류)</t>
    <phoneticPr fontId="2" type="noConversion"/>
  </si>
  <si>
    <t>연천군 전곡읍 전곡리 681-2(세월교)_색도 목표지점</t>
    <phoneticPr fontId="2" type="noConversion"/>
  </si>
  <si>
    <t>회암천_중</t>
  </si>
  <si>
    <t>양주시 옥정동로 율정초교 앞</t>
  </si>
  <si>
    <t>목표기준 달성여부</t>
    <phoneticPr fontId="2" type="noConversion"/>
  </si>
  <si>
    <t>2026년 1월 한탄강 수계 수질조사 결과</t>
    <phoneticPr fontId="2" type="noConversion"/>
  </si>
  <si>
    <t>2026년 월별 색도현황</t>
  </si>
  <si>
    <t>덕계천-하</t>
    <phoneticPr fontId="2" type="noConversion"/>
  </si>
  <si>
    <t>마개미천</t>
    <phoneticPr fontId="2" type="noConversion"/>
  </si>
  <si>
    <t>양주시 덕계동 169-17</t>
    <phoneticPr fontId="2" type="noConversion"/>
  </si>
  <si>
    <t>변경지점</t>
    <phoneticPr fontId="2" type="noConversion"/>
  </si>
  <si>
    <t>신규지점</t>
    <phoneticPr fontId="2" type="noConversion"/>
  </si>
  <si>
    <t>2)포천천</t>
    <phoneticPr fontId="2" type="noConversion"/>
  </si>
  <si>
    <t>3)금현천</t>
    <phoneticPr fontId="2" type="noConversion"/>
  </si>
  <si>
    <t>4)송우천</t>
    <phoneticPr fontId="2" type="noConversion"/>
  </si>
  <si>
    <t>5)영평천</t>
    <phoneticPr fontId="2" type="noConversion"/>
  </si>
  <si>
    <t>6)외북천</t>
    <phoneticPr fontId="2" type="noConversion"/>
  </si>
  <si>
    <t>7)수입천</t>
    <phoneticPr fontId="2" type="noConversion"/>
  </si>
  <si>
    <t>8)신천</t>
    <phoneticPr fontId="2" type="noConversion"/>
  </si>
  <si>
    <t>9)능안천</t>
    <phoneticPr fontId="2" type="noConversion"/>
  </si>
  <si>
    <t>10)효촌천</t>
    <phoneticPr fontId="2" type="noConversion"/>
  </si>
  <si>
    <t>11)덕계천</t>
    <phoneticPr fontId="2" type="noConversion"/>
  </si>
  <si>
    <t>12)마개미천</t>
    <phoneticPr fontId="2" type="noConversion"/>
  </si>
  <si>
    <t>13)회암천</t>
    <phoneticPr fontId="2" type="noConversion"/>
  </si>
  <si>
    <t>14)청담천</t>
    <phoneticPr fontId="2" type="noConversion"/>
  </si>
  <si>
    <t>15)상패천</t>
    <phoneticPr fontId="2" type="noConversion"/>
  </si>
  <si>
    <t>양주시 회정동 317-4</t>
    <phoneticPr fontId="2" type="noConversion"/>
  </si>
  <si>
    <t>2026년 2월 한탄강 수계 수질조사 결과</t>
    <phoneticPr fontId="2" type="noConversion"/>
  </si>
  <si>
    <t>2026년 3월 한탄강 수계 수질조사 결과</t>
    <phoneticPr fontId="2" type="noConversion"/>
  </si>
  <si>
    <t>-</t>
    <phoneticPr fontId="2" type="noConversion"/>
  </si>
  <si>
    <t>2026년 월별 TOC 현황</t>
    <phoneticPr fontId="2" type="noConversion"/>
  </si>
  <si>
    <t>2026년 월별 SS 현황</t>
    <phoneticPr fontId="2" type="noConversion"/>
  </si>
  <si>
    <t>2026년 월별 BOD 현황</t>
    <phoneticPr fontId="2" type="noConversion"/>
  </si>
  <si>
    <t>2026년 월별 TN 현황</t>
    <phoneticPr fontId="2" type="noConversion"/>
  </si>
  <si>
    <t>2026년 월별 TP 현황</t>
    <phoneticPr fontId="2" type="noConversion"/>
  </si>
  <si>
    <t>연도별 평균 색도 현황</t>
    <phoneticPr fontId="2" type="noConversion"/>
  </si>
  <si>
    <t>한탄강2</t>
  </si>
  <si>
    <t>포천시 관인면 냉정리 용담교 아래(관인면 냉정리 산118-1)</t>
  </si>
  <si>
    <t>-</t>
  </si>
  <si>
    <t>상류</t>
    <phoneticPr fontId="2" type="noConversion"/>
  </si>
  <si>
    <t>포천시 창수면 운산리 영로교 아래</t>
  </si>
  <si>
    <t>연천군 전곡읍 신답리 1(영평천 합류전)</t>
  </si>
  <si>
    <t>연천군 청산면 궁평리 561-1(영평천 합류후)</t>
  </si>
  <si>
    <t>중류</t>
    <phoneticPr fontId="2" type="noConversion"/>
  </si>
  <si>
    <t>한탄강 연3</t>
  </si>
  <si>
    <t>연천군 전곡읍 전곡리 413-8(고탄교)</t>
  </si>
  <si>
    <t>한탄강_분리둑</t>
    <phoneticPr fontId="2" type="noConversion"/>
  </si>
  <si>
    <t>연천군 전곡읍 전곡리 681-16(사랑교/신천)</t>
    <phoneticPr fontId="2" type="noConversion"/>
  </si>
  <si>
    <t>한탄강</t>
    <phoneticPr fontId="2" type="noConversion"/>
  </si>
  <si>
    <t>연천군 전곡읍 전곡리 681-16(사랑교 / 한탄강 본류)(수질측정망 한탄강4)</t>
    <phoneticPr fontId="2" type="noConversion"/>
  </si>
  <si>
    <t>연천군 전곡읍 전곡리 681-2(세월교)</t>
    <phoneticPr fontId="2" type="noConversion"/>
  </si>
  <si>
    <t>하류(목표)</t>
    <phoneticPr fontId="2" type="noConversion"/>
  </si>
  <si>
    <t>부소천</t>
    <phoneticPr fontId="2" type="noConversion"/>
  </si>
  <si>
    <t>포천시 영북면 소회산리 산3-10</t>
  </si>
  <si>
    <t>건지천</t>
    <phoneticPr fontId="2" type="noConversion"/>
  </si>
  <si>
    <t>포천시 관인면 중리 452</t>
    <phoneticPr fontId="2" type="noConversion"/>
  </si>
  <si>
    <t>2)자일천</t>
    <phoneticPr fontId="2" type="noConversion"/>
  </si>
  <si>
    <t>자일천</t>
    <phoneticPr fontId="2" type="noConversion"/>
  </si>
  <si>
    <t>포천시 영북면 자일리 1039-1</t>
  </si>
  <si>
    <t>3)포천천</t>
    <phoneticPr fontId="2" type="noConversion"/>
  </si>
  <si>
    <t>포천시 소흘읍 무봉리 이동교리교 (포천천 상류,부인터사거리 뒤)</t>
  </si>
  <si>
    <t>포천시 신읍동 한내교 아래(실제 가스충전소 뒤/중류)</t>
  </si>
  <si>
    <t>포천시 영중면 거사3리 농본교(포천천 하류)</t>
  </si>
  <si>
    <t>하류</t>
    <phoneticPr fontId="2" type="noConversion"/>
  </si>
  <si>
    <t>구읍천</t>
    <phoneticPr fontId="2" type="noConversion"/>
  </si>
  <si>
    <t>포천시 군내면 구읍리 포천2교 아래(5일장 옆)</t>
    <phoneticPr fontId="2" type="noConversion"/>
  </si>
  <si>
    <t>명덕천</t>
    <phoneticPr fontId="2" type="noConversion"/>
  </si>
  <si>
    <t>포천시 신북면 만세교리 만세교 아래</t>
  </si>
  <si>
    <t>좌의천</t>
    <phoneticPr fontId="2" type="noConversion"/>
  </si>
  <si>
    <t>포천시 군내면 유교리 좌의천교 아래</t>
  </si>
  <si>
    <t>우금천</t>
    <phoneticPr fontId="2" type="noConversion"/>
  </si>
  <si>
    <t>포천시 가산면 감암리 우금천교 아래</t>
  </si>
  <si>
    <t>4)금현천</t>
    <phoneticPr fontId="2" type="noConversion"/>
  </si>
  <si>
    <t>5)송우천</t>
    <phoneticPr fontId="2" type="noConversion"/>
  </si>
  <si>
    <t>6)고모천</t>
    <phoneticPr fontId="2" type="noConversion"/>
  </si>
  <si>
    <t>고모천</t>
    <phoneticPr fontId="2" type="noConversion"/>
  </si>
  <si>
    <t>포천시 가산면 방축리 수정교 아래(소흘처리장 옆)</t>
    <phoneticPr fontId="2" type="noConversion"/>
  </si>
  <si>
    <t>7)설운천</t>
    <phoneticPr fontId="2" type="noConversion"/>
  </si>
  <si>
    <t>설운천</t>
    <phoneticPr fontId="2" type="noConversion"/>
  </si>
  <si>
    <t>포천시 선단동 89-10(선단교 아래)</t>
    <phoneticPr fontId="2" type="noConversion"/>
  </si>
  <si>
    <t>8)영평천</t>
    <phoneticPr fontId="2" type="noConversion"/>
  </si>
  <si>
    <t>포천시 이동면 노곡리 낭유대교 아래(영평천 상류)</t>
  </si>
  <si>
    <t>포천시 영중면 성동리 와룡교 아래(수입천 합류 후)</t>
  </si>
  <si>
    <t>영평천2-B</t>
    <phoneticPr fontId="2" type="noConversion"/>
  </si>
  <si>
    <t>포천시 영중면 양문리 974(사은교 다리 아래 / 포천천 합류 전)</t>
  </si>
  <si>
    <t>포천시 영중면 영송리 영평교 아래(포천천 합류 후)</t>
  </si>
  <si>
    <t>포천시 창수면 오가리 오가교 아래(외북천 합류 후)</t>
  </si>
  <si>
    <t>포천시 창수면 고소성리 백의교(포천-연천 경계 / 영평천 하류)</t>
  </si>
  <si>
    <t>9)외북천</t>
    <phoneticPr fontId="2" type="noConversion"/>
  </si>
  <si>
    <t>야미천</t>
    <phoneticPr fontId="2" type="noConversion"/>
  </si>
  <si>
    <t>포천시 영중면 성동리 삼산교(항아리칼국수 맞은편)</t>
    <phoneticPr fontId="2" type="noConversion"/>
  </si>
  <si>
    <t>10)수입천</t>
    <phoneticPr fontId="2" type="noConversion"/>
  </si>
  <si>
    <t>사직천</t>
    <phoneticPr fontId="2" type="noConversion"/>
  </si>
  <si>
    <t>포천시 일동면 사직리 887-2(보 아래) 새터교 아래</t>
    <phoneticPr fontId="2" type="noConversion"/>
  </si>
  <si>
    <t>추동천</t>
    <phoneticPr fontId="2" type="noConversion"/>
  </si>
  <si>
    <t>포천시 창수면 주원리 금주교 아래</t>
  </si>
  <si>
    <t>11)신천</t>
    <phoneticPr fontId="2" type="noConversion"/>
  </si>
  <si>
    <t>양주시 백석읍 오산리 137-2(신천-오산리_방성천 합류전)</t>
  </si>
  <si>
    <t>양주시 광적면 가납리 710(신천-우고천 합류후)</t>
  </si>
  <si>
    <t>양주시 남면 상수리 104-39(입암천 합류전)</t>
  </si>
  <si>
    <t>신천9</t>
  </si>
  <si>
    <t>양주시 은현면 운암리 60-15(은현교)</t>
  </si>
  <si>
    <t>신천10</t>
  </si>
  <si>
    <t>양주시 은현면 용암리 산17-1(용암리 수중보)</t>
    <phoneticPr fontId="2" type="noConversion"/>
  </si>
  <si>
    <t>신천14</t>
  </si>
  <si>
    <t>동두천시 송내동 551 동두천터미널 (송천교 아래)</t>
    <phoneticPr fontId="2" type="noConversion"/>
  </si>
  <si>
    <t>양주시 은현면 하패리 54-4(방주교회 앞)-&gt;동두천시 송내동 651-3(현대아이파크 앞)</t>
    <phoneticPr fontId="2" type="noConversion"/>
  </si>
  <si>
    <t>목표(BSC 62도: 73도의 85%)</t>
    <phoneticPr fontId="2" type="noConversion"/>
  </si>
  <si>
    <t>연천군 청산면 초성리 306-5, 대전교</t>
    <phoneticPr fontId="2" type="noConversion"/>
  </si>
  <si>
    <r>
      <rPr>
        <sz val="9"/>
        <color theme="1"/>
        <rFont val="함초롬바탕"/>
        <family val="1"/>
        <charset val="129"/>
      </rPr>
      <t>12)</t>
    </r>
    <r>
      <rPr>
        <sz val="9"/>
        <color theme="1"/>
        <rFont val="경기천년바탕 Regular"/>
        <family val="1"/>
        <charset val="129"/>
      </rPr>
      <t>능안천</t>
    </r>
    <phoneticPr fontId="2" type="noConversion"/>
  </si>
  <si>
    <r>
      <rPr>
        <sz val="9"/>
        <color theme="1"/>
        <rFont val="함초롬바탕"/>
        <family val="1"/>
        <charset val="129"/>
      </rPr>
      <t>13)</t>
    </r>
    <r>
      <rPr>
        <sz val="9"/>
        <color theme="1"/>
        <rFont val="경기천년바탕 Regular"/>
        <family val="1"/>
        <charset val="129"/>
      </rPr>
      <t>홍죽천</t>
    </r>
    <phoneticPr fontId="2" type="noConversion"/>
  </si>
  <si>
    <t>홍죽천</t>
  </si>
  <si>
    <t>양주시 백석읍 오산리 233-14</t>
  </si>
  <si>
    <t>14)연곡천</t>
    <phoneticPr fontId="2" type="noConversion"/>
  </si>
  <si>
    <t>연곡천</t>
  </si>
  <si>
    <t>양주시 광적면 가납리 653-13</t>
  </si>
  <si>
    <t>15)우고천</t>
    <phoneticPr fontId="2" type="noConversion"/>
  </si>
  <si>
    <t>우고천</t>
  </si>
  <si>
    <t>양주시 광적면 가납리 710</t>
  </si>
  <si>
    <t>16)석우천</t>
    <phoneticPr fontId="2" type="noConversion"/>
  </si>
  <si>
    <t>석우천</t>
  </si>
  <si>
    <t>양주시 광적면 석우리 22-1</t>
  </si>
  <si>
    <t>17)효촌천</t>
    <phoneticPr fontId="2" type="noConversion"/>
  </si>
  <si>
    <t>18)입암천</t>
    <phoneticPr fontId="2" type="noConversion"/>
  </si>
  <si>
    <t>입암천</t>
  </si>
  <si>
    <t>양주시 남면 상수리 117-39</t>
  </si>
  <si>
    <t>19)덕계천</t>
    <phoneticPr fontId="2" type="noConversion"/>
  </si>
  <si>
    <t>덕계천</t>
  </si>
  <si>
    <r>
      <t xml:space="preserve">양주시 고암동 211-1 ---&gt; </t>
    </r>
    <r>
      <rPr>
        <sz val="9"/>
        <color rgb="FF0070C0"/>
        <rFont val="경기천년바탕 Regular"/>
        <family val="1"/>
        <charset val="129"/>
      </rPr>
      <t>양주시 덕계동 441-4('24)</t>
    </r>
    <phoneticPr fontId="2" type="noConversion"/>
  </si>
  <si>
    <t>20)회암천</t>
    <phoneticPr fontId="2" type="noConversion"/>
  </si>
  <si>
    <t>회암천_중</t>
    <phoneticPr fontId="2" type="noConversion"/>
  </si>
  <si>
    <t>양주시 옥정동로 율정초교 앞</t>
    <phoneticPr fontId="2" type="noConversion"/>
  </si>
  <si>
    <t>회암천</t>
  </si>
  <si>
    <t>양주시 봉양동 941-1(독정동 6통 신천합류전)</t>
    <phoneticPr fontId="2" type="noConversion"/>
  </si>
  <si>
    <t>21)청담천</t>
    <phoneticPr fontId="2" type="noConversion"/>
  </si>
  <si>
    <r>
      <t xml:space="preserve">양주시 덕정동 495-11(신천 합류전) ---&gt; </t>
    </r>
    <r>
      <rPr>
        <sz val="9"/>
        <color rgb="FF0070C0"/>
        <rFont val="경기천년바탕 Regular"/>
        <family val="1"/>
        <charset val="129"/>
      </rPr>
      <t>양주시 고암동 211-1('24)</t>
    </r>
    <phoneticPr fontId="2" type="noConversion"/>
  </si>
  <si>
    <t>지행천</t>
    <phoneticPr fontId="2" type="noConversion"/>
  </si>
  <si>
    <t>동두천시 지행동 지행동 662-1 (선업교 아래)</t>
    <phoneticPr fontId="2" type="noConversion"/>
  </si>
  <si>
    <t>22)상패천</t>
    <phoneticPr fontId="2" type="noConversion"/>
  </si>
  <si>
    <t>귀평천 상</t>
    <phoneticPr fontId="2" type="noConversion"/>
  </si>
  <si>
    <t>양주시 은현면 하패리 474(엘림섬유 방류 전)</t>
    <phoneticPr fontId="2" type="noConversion"/>
  </si>
  <si>
    <t>귀평천 중</t>
    <phoneticPr fontId="2" type="noConversion"/>
  </si>
  <si>
    <t>양주시 은현면 하패리 459-4(엘림섬유 방류 후)</t>
    <phoneticPr fontId="2" type="noConversion"/>
  </si>
  <si>
    <t>진재1천-중</t>
    <phoneticPr fontId="2" type="noConversion"/>
  </si>
  <si>
    <t>양주시 은현면 하패리 466-1</t>
    <phoneticPr fontId="2" type="noConversion"/>
  </si>
  <si>
    <t>상패천</t>
  </si>
  <si>
    <t>양주시 동두천시 상패동 303(귀평천 합류 후 상패천)</t>
    <phoneticPr fontId="2" type="noConversion"/>
  </si>
  <si>
    <t>동두천시 상패동 307-7 인근 (강변교 아래) (신천 합류 전 상패천)</t>
    <phoneticPr fontId="2" type="noConversion"/>
  </si>
  <si>
    <t>23)동두천</t>
    <phoneticPr fontId="2" type="noConversion"/>
  </si>
  <si>
    <t>동두천</t>
    <phoneticPr fontId="2" type="noConversion"/>
  </si>
  <si>
    <t>동두천시 동두천동 211-1 인근</t>
  </si>
  <si>
    <t>24)대전천</t>
    <phoneticPr fontId="2" type="noConversion"/>
  </si>
  <si>
    <t>대전천</t>
  </si>
  <si>
    <t>연천군 청산면 대전리 564-5</t>
  </si>
  <si>
    <t>생활환경 기준등급</t>
    <phoneticPr fontId="2" type="noConversion"/>
  </si>
  <si>
    <t>한탄강(중류)</t>
    <phoneticPr fontId="2" type="noConversion"/>
  </si>
  <si>
    <t>한탄강(하류)</t>
    <phoneticPr fontId="2" type="noConversion"/>
  </si>
  <si>
    <t>영평천 지류</t>
    <phoneticPr fontId="2" type="noConversion"/>
  </si>
  <si>
    <t xml:space="preserve">영평천 </t>
    <phoneticPr fontId="2" type="noConversion"/>
  </si>
  <si>
    <t>영평천(하류)</t>
    <phoneticPr fontId="2" type="noConversion"/>
  </si>
  <si>
    <t>신천</t>
    <phoneticPr fontId="2" type="noConversion"/>
  </si>
  <si>
    <t>신천(하류)</t>
    <phoneticPr fontId="2" type="noConversion"/>
  </si>
  <si>
    <t>신천 지류</t>
    <phoneticPr fontId="2" type="noConversion"/>
  </si>
  <si>
    <t>2026년 4월 한탄강 수계 수질조사 결과</t>
    <phoneticPr fontId="2" type="noConversion"/>
  </si>
  <si>
    <t>2026년 5월 한탄강 수계 수질조사 결과</t>
    <phoneticPr fontId="2" type="noConversion"/>
  </si>
  <si>
    <t>2026년 6월 한탄강 수계 수질조사 결과</t>
    <phoneticPr fontId="2" type="noConversion"/>
  </si>
  <si>
    <t>2026년 7월 한탄강 수계 수질조사 결과</t>
    <phoneticPr fontId="2" type="noConversion"/>
  </si>
  <si>
    <t>2026년 8월 한탄강 수계 수질조사 결과</t>
    <phoneticPr fontId="2" type="noConversion"/>
  </si>
  <si>
    <t>2026년 9월 한탄강 수계 수질조사 결과</t>
    <phoneticPr fontId="2" type="noConversion"/>
  </si>
  <si>
    <t xml:space="preserve">6.7 </t>
  </si>
  <si>
    <t xml:space="preserve">7.3 </t>
  </si>
  <si>
    <t xml:space="preserve">5.2 </t>
  </si>
  <si>
    <t xml:space="preserve">3.7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</si>
</sst>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_);[Red]\(0\)"/>
    <numFmt numFmtId="178" formatCode="0.0_);[Red]\(0.0\)"/>
    <numFmt numFmtId="179" formatCode="0.000_);[Red]\(0.000\)"/>
    <numFmt numFmtId="180" formatCode="0_ "/>
    <numFmt numFmtId="181" formatCode="0.0_ "/>
  </numFmts>
  <fonts count="15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경기천년바탕 Regular"/>
      <family val="1"/>
      <charset val="129"/>
    </font>
    <font>
      <sz val="8"/>
      <name val="맑은 고딕"/>
      <family val="2"/>
      <charset val="129"/>
      <scheme val="minor"/>
    </font>
    <font>
      <sz val="11"/>
      <color rgb="FF000000"/>
      <name val="경기천년바탕 Regular"/>
      <family val="1"/>
      <charset val="129"/>
    </font>
    <font>
      <sz val="9"/>
      <color theme="1"/>
      <name val="경기천년바탕 Regular"/>
      <family val="1"/>
      <charset val="129"/>
    </font>
    <font>
      <b/>
      <sz val="18"/>
      <color theme="1"/>
      <name val="경기천년바탕 Regular"/>
      <family val="1"/>
      <charset val="129"/>
    </font>
    <font>
      <sz val="11"/>
      <color theme="1"/>
      <name val="경기천년바탕 Regular"/>
      <family val="1"/>
      <charset val="129"/>
    </font>
    <font>
      <sz val="11"/>
      <name val="경기천년바탕 Regular"/>
      <family val="1"/>
      <charset val="129"/>
    </font>
    <font>
      <sz val="11"/>
      <color rgb="FFFF0000"/>
      <name val="경기천년바탕 Regular"/>
      <family val="1"/>
      <charset val="129"/>
    </font>
    <font>
      <sz val="11"/>
      <color theme="0"/>
      <name val="경기천년바탕 Regular"/>
      <family val="1"/>
      <charset val="129"/>
    </font>
    <font>
      <sz val="24"/>
      <color theme="1"/>
      <name val="경기천년제목 Bold"/>
      <family val="1"/>
      <charset val="129"/>
    </font>
    <font>
      <sz val="11"/>
      <color theme="1"/>
      <name val="경기천년제목 Bold"/>
      <family val="1"/>
      <charset val="129"/>
    </font>
    <font>
      <sz val="9"/>
      <color rgb="FFFF0000"/>
      <name val="경기천년바탕 Regular"/>
      <family val="1"/>
      <charset val="129"/>
    </font>
    <font>
      <sz val="9"/>
      <color theme="1"/>
      <name val="함초롬바탕"/>
      <family val="1"/>
      <charset val="129"/>
    </font>
    <font>
      <sz val="9"/>
      <color rgb="FF0070C0"/>
      <name val="경기천년바탕 Regular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1" fontId="6" fillId="0" borderId="7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1" fillId="0" borderId="6" xfId="0" applyFont="1" applyFill="1" applyBorder="1" applyAlignment="1">
      <alignment horizontal="center" vertical="center" wrapText="1"/>
    </xf>
    <xf numFmtId="1" fontId="8" fillId="0" borderId="7" xfId="0" applyNumberFormat="1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1" fontId="6" fillId="0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180" fontId="7" fillId="2" borderId="7" xfId="0" applyNumberFormat="1" applyFont="1" applyFill="1" applyBorder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7" fontId="6" fillId="2" borderId="7" xfId="0" applyNumberFormat="1" applyFont="1" applyFill="1" applyBorder="1" applyAlignment="1">
      <alignment horizontal="center" vertical="center"/>
    </xf>
    <xf numFmtId="178" fontId="6" fillId="2" borderId="7" xfId="0" applyNumberFormat="1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1" fontId="6" fillId="0" borderId="11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80" fontId="6" fillId="0" borderId="7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78" fontId="7" fillId="0" borderId="7" xfId="0" applyNumberFormat="1" applyFont="1" applyFill="1" applyBorder="1" applyAlignment="1">
      <alignment horizontal="center" vertical="center"/>
    </xf>
    <xf numFmtId="181" fontId="7" fillId="2" borderId="7" xfId="0" applyNumberFormat="1" applyFont="1" applyFill="1" applyBorder="1" applyAlignment="1">
      <alignment horizontal="center" vertical="center"/>
    </xf>
    <xf numFmtId="176" fontId="6" fillId="0" borderId="7" xfId="0" applyNumberFormat="1" applyFont="1" applyFill="1" applyBorder="1" applyAlignment="1">
      <alignment horizontal="center" vertical="center"/>
    </xf>
    <xf numFmtId="176" fontId="6" fillId="0" borderId="11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/>
    </xf>
    <xf numFmtId="179" fontId="7" fillId="0" borderId="7" xfId="0" applyNumberFormat="1" applyFont="1" applyFill="1" applyBorder="1" applyAlignment="1">
      <alignment horizontal="center" vertical="center"/>
    </xf>
    <xf numFmtId="179" fontId="7" fillId="2" borderId="7" xfId="0" applyNumberFormat="1" applyFont="1" applyFill="1" applyBorder="1" applyAlignment="1">
      <alignment horizontal="center" vertical="center"/>
    </xf>
    <xf numFmtId="179" fontId="6" fillId="0" borderId="7" xfId="0" applyNumberFormat="1" applyFont="1" applyFill="1" applyBorder="1" applyAlignment="1">
      <alignment horizontal="center" vertical="center"/>
    </xf>
    <xf numFmtId="179" fontId="6" fillId="0" borderId="11" xfId="0" applyNumberFormat="1" applyFont="1" applyFill="1" applyBorder="1" applyAlignment="1">
      <alignment horizontal="center" vertical="center"/>
    </xf>
    <xf numFmtId="179" fontId="8" fillId="0" borderId="7" xfId="0" applyNumberFormat="1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1" fontId="8" fillId="2" borderId="7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4" fillId="2" borderId="7" xfId="0" applyFont="1" applyFill="1" applyBorder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4" fillId="2" borderId="13" xfId="0" applyFont="1" applyFill="1" applyBorder="1" applyAlignment="1">
      <alignment horizontal="right" vertical="center" wrapText="1"/>
    </xf>
    <xf numFmtId="1" fontId="6" fillId="2" borderId="7" xfId="0" applyNumberFormat="1" applyFont="1" applyFill="1" applyBorder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/>
    </xf>
    <xf numFmtId="0" fontId="6" fillId="0" borderId="7" xfId="0" applyFont="1" applyBorder="1">
      <alignment vertical="center"/>
    </xf>
    <xf numFmtId="177" fontId="8" fillId="0" borderId="7" xfId="0" applyNumberFormat="1" applyFont="1" applyFill="1" applyBorder="1" applyAlignment="1">
      <alignment horizontal="center" vertical="center"/>
    </xf>
    <xf numFmtId="180" fontId="8" fillId="2" borderId="7" xfId="0" applyNumberFormat="1" applyFont="1" applyFill="1" applyBorder="1" applyAlignment="1">
      <alignment horizontal="center" vertical="center"/>
    </xf>
    <xf numFmtId="180" fontId="8" fillId="0" borderId="7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81" fontId="7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180" fontId="7" fillId="3" borderId="7" xfId="0" applyNumberFormat="1" applyFont="1" applyFill="1" applyBorder="1" applyAlignment="1">
      <alignment horizontal="center" vertical="center"/>
    </xf>
    <xf numFmtId="179" fontId="7" fillId="3" borderId="7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81" fontId="7" fillId="0" borderId="7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178" fontId="7" fillId="3" borderId="7" xfId="0" applyNumberFormat="1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76" fontId="6" fillId="3" borderId="7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E460-5801-4E07-BED9-A7BACF9EDEF1}">
  <sheetPr>
    <tabColor rgb="FF0070C0"/>
    <pageSetUpPr fitToPage="1"/>
  </sheetPr>
  <dimension ref="A1:N4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16" activeCellId="1" sqref="J14 J16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264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44">
        <v>3.92</v>
      </c>
      <c r="F3" s="5" t="s">
        <v>266</v>
      </c>
      <c r="G3" s="4">
        <v>1.5</v>
      </c>
      <c r="H3" s="4">
        <v>1.4</v>
      </c>
      <c r="I3" s="4">
        <v>6.44</v>
      </c>
      <c r="J3" s="4">
        <v>0.02</v>
      </c>
      <c r="K3" s="4">
        <v>7</v>
      </c>
      <c r="L3" s="8">
        <v>46293</v>
      </c>
      <c r="M3" s="4" t="str">
        <f>TEXT(L3,"aaa")</f>
        <v>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44">
        <v>1.9</v>
      </c>
      <c r="F4" s="37"/>
      <c r="G4" s="4">
        <v>1.6</v>
      </c>
      <c r="H4" s="4">
        <v>4.8</v>
      </c>
      <c r="I4" s="4">
        <v>4.5529999999999999</v>
      </c>
      <c r="J4" s="118">
        <v>8.1000000000000003E-2</v>
      </c>
      <c r="K4" s="4">
        <v>17</v>
      </c>
      <c r="L4" s="8">
        <v>46275</v>
      </c>
      <c r="M4" s="4" t="str">
        <f t="shared" ref="M4:M39" si="0">TEXT(L4,"aaa")</f>
        <v>목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44">
        <v>2</v>
      </c>
      <c r="F5" s="37"/>
      <c r="G5" s="4">
        <v>2.2000000000000002</v>
      </c>
      <c r="H5" s="4">
        <v>3.8</v>
      </c>
      <c r="I5" s="4">
        <v>4.4809999999999999</v>
      </c>
      <c r="J5" s="4">
        <v>7.5999999999999998E-2</v>
      </c>
      <c r="K5" s="4">
        <v>16</v>
      </c>
      <c r="L5" s="8">
        <v>46275</v>
      </c>
      <c r="M5" s="4" t="str">
        <f t="shared" si="0"/>
        <v>목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44">
        <v>2.4</v>
      </c>
      <c r="F6" s="37"/>
      <c r="G6" s="4">
        <v>0.9</v>
      </c>
      <c r="H6" s="4">
        <v>2.6</v>
      </c>
      <c r="I6" s="4">
        <v>5.657</v>
      </c>
      <c r="J6" s="118">
        <v>7.0000000000000007E-2</v>
      </c>
      <c r="K6" s="4">
        <v>17</v>
      </c>
      <c r="L6" s="8">
        <v>46275</v>
      </c>
      <c r="M6" s="4" t="str">
        <f t="shared" si="0"/>
        <v>목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44">
        <v>4.2699999999999996</v>
      </c>
      <c r="F7" s="37"/>
      <c r="G7" s="4">
        <v>1.9</v>
      </c>
      <c r="H7" s="4">
        <v>5.2</v>
      </c>
      <c r="I7" s="4">
        <v>2.6789999999999998</v>
      </c>
      <c r="J7" s="4">
        <v>5.6000000000000001E-2</v>
      </c>
      <c r="K7" s="4">
        <v>9</v>
      </c>
      <c r="L7" s="8">
        <v>46293</v>
      </c>
      <c r="M7" s="4" t="str">
        <f t="shared" si="0"/>
        <v>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44">
        <v>4.22</v>
      </c>
      <c r="F8" s="5" t="s">
        <v>267</v>
      </c>
      <c r="G8" s="4">
        <v>2.1</v>
      </c>
      <c r="H8" s="4">
        <v>5.7</v>
      </c>
      <c r="I8" s="118">
        <v>10.656000000000001</v>
      </c>
      <c r="J8" s="118">
        <v>0.14000000000000001</v>
      </c>
      <c r="K8" s="4">
        <v>8</v>
      </c>
      <c r="L8" s="8">
        <v>46293</v>
      </c>
      <c r="M8" s="4" t="str">
        <f t="shared" si="0"/>
        <v>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44">
        <v>4.18</v>
      </c>
      <c r="F9" s="37"/>
      <c r="G9" s="118">
        <v>6</v>
      </c>
      <c r="H9" s="118">
        <v>27.6</v>
      </c>
      <c r="I9" s="4">
        <v>4.7329999999999997</v>
      </c>
      <c r="J9" s="4">
        <v>4.2000000000000003E-2</v>
      </c>
      <c r="K9" s="4">
        <v>10</v>
      </c>
      <c r="L9" s="8">
        <v>46293</v>
      </c>
      <c r="M9" s="4" t="str">
        <f t="shared" si="0"/>
        <v>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44">
        <v>4.09</v>
      </c>
      <c r="F10" s="37"/>
      <c r="G10" s="4">
        <v>3.6</v>
      </c>
      <c r="H10" s="118">
        <v>76.8</v>
      </c>
      <c r="I10" s="4">
        <v>5.0270000000000001</v>
      </c>
      <c r="J10" s="4">
        <v>1.7000000000000001E-2</v>
      </c>
      <c r="K10" s="4">
        <v>14</v>
      </c>
      <c r="L10" s="8">
        <v>46293</v>
      </c>
      <c r="M10" s="4" t="str">
        <f t="shared" si="0"/>
        <v>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44">
        <v>3.98</v>
      </c>
      <c r="F11" s="37"/>
      <c r="G11" s="4">
        <v>2.2999999999999998</v>
      </c>
      <c r="H11" s="4">
        <v>19.8</v>
      </c>
      <c r="I11" s="4">
        <v>3.593</v>
      </c>
      <c r="J11" s="4">
        <v>4.2000000000000003E-2</v>
      </c>
      <c r="K11" s="4">
        <v>11</v>
      </c>
      <c r="L11" s="8">
        <v>46293</v>
      </c>
      <c r="M11" s="4" t="str">
        <f t="shared" si="0"/>
        <v>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44">
        <v>1.66</v>
      </c>
      <c r="F12" s="5" t="s">
        <v>268</v>
      </c>
      <c r="G12" s="4">
        <v>3.8</v>
      </c>
      <c r="H12" s="118">
        <v>34.4</v>
      </c>
      <c r="I12" s="4">
        <v>3.3380000000000001</v>
      </c>
      <c r="J12" s="4">
        <v>4.2999999999999997E-2</v>
      </c>
      <c r="K12" s="4">
        <v>11</v>
      </c>
      <c r="L12" s="8">
        <v>46293</v>
      </c>
      <c r="M12" s="4" t="str">
        <f t="shared" si="0"/>
        <v>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44">
        <v>1.68</v>
      </c>
      <c r="F13" s="37"/>
      <c r="G13" s="4">
        <v>2.9</v>
      </c>
      <c r="H13" s="4">
        <v>5.8</v>
      </c>
      <c r="I13" s="4">
        <v>4.54</v>
      </c>
      <c r="J13" s="4">
        <v>8.1000000000000003E-2</v>
      </c>
      <c r="K13" s="4">
        <v>15</v>
      </c>
      <c r="L13" s="8">
        <v>46293</v>
      </c>
      <c r="M13" s="4" t="str">
        <f t="shared" si="0"/>
        <v>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44">
        <v>2.15</v>
      </c>
      <c r="F14" s="37"/>
      <c r="G14" s="4">
        <v>3.3</v>
      </c>
      <c r="H14" s="4">
        <v>6.4</v>
      </c>
      <c r="I14" s="4">
        <v>4.9409999999999998</v>
      </c>
      <c r="J14" s="118">
        <v>9.9000000000000005E-2</v>
      </c>
      <c r="K14" s="4">
        <v>18</v>
      </c>
      <c r="L14" s="8">
        <v>46293</v>
      </c>
      <c r="M14" s="4" t="str">
        <f t="shared" si="0"/>
        <v>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44">
        <v>2.06</v>
      </c>
      <c r="F15" s="37"/>
      <c r="G15" s="4">
        <v>3</v>
      </c>
      <c r="H15" s="4">
        <v>8.8000000000000007</v>
      </c>
      <c r="I15" s="4">
        <v>4.7720000000000002</v>
      </c>
      <c r="J15" s="4">
        <v>7.8E-2</v>
      </c>
      <c r="K15" s="4">
        <v>22</v>
      </c>
      <c r="L15" s="8">
        <v>46293</v>
      </c>
      <c r="M15" s="4" t="str">
        <f t="shared" si="0"/>
        <v>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44">
        <v>2.15</v>
      </c>
      <c r="F16" s="37"/>
      <c r="G16" s="4">
        <v>2.7</v>
      </c>
      <c r="H16" s="4">
        <v>11</v>
      </c>
      <c r="I16" s="4">
        <v>5.8209999999999997</v>
      </c>
      <c r="J16" s="118">
        <v>0.114</v>
      </c>
      <c r="K16" s="4">
        <v>34</v>
      </c>
      <c r="L16" s="8">
        <v>46293</v>
      </c>
      <c r="M16" s="4" t="str">
        <f t="shared" si="0"/>
        <v>월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44">
        <v>3.45</v>
      </c>
      <c r="F17" s="37"/>
      <c r="G17" s="4">
        <v>3.8</v>
      </c>
      <c r="H17" s="4">
        <v>7</v>
      </c>
      <c r="I17" s="4">
        <v>6.8360000000000003</v>
      </c>
      <c r="J17" s="4">
        <v>8.4000000000000005E-2</v>
      </c>
      <c r="K17" s="4">
        <v>35</v>
      </c>
      <c r="L17" s="8">
        <v>46293</v>
      </c>
      <c r="M17" s="4" t="str">
        <f t="shared" si="0"/>
        <v>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44">
        <v>3.35</v>
      </c>
      <c r="F18" s="37"/>
      <c r="G18" s="4">
        <v>4.8</v>
      </c>
      <c r="H18" s="4">
        <v>8.4</v>
      </c>
      <c r="I18" s="4">
        <v>6.2930000000000001</v>
      </c>
      <c r="J18" s="4">
        <v>7.6999999999999999E-2</v>
      </c>
      <c r="K18" s="4">
        <v>32</v>
      </c>
      <c r="L18" s="8">
        <v>46293</v>
      </c>
      <c r="M18" s="4" t="str">
        <f t="shared" si="0"/>
        <v>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44">
        <v>1.7</v>
      </c>
      <c r="F19" s="5">
        <v>3.5</v>
      </c>
      <c r="G19" s="4">
        <v>3.3</v>
      </c>
      <c r="H19" s="4">
        <v>7.2</v>
      </c>
      <c r="I19" s="4">
        <v>6.15</v>
      </c>
      <c r="J19" s="4">
        <v>7.0999999999999994E-2</v>
      </c>
      <c r="K19" s="4">
        <v>31</v>
      </c>
      <c r="L19" s="8">
        <v>46293</v>
      </c>
      <c r="M19" s="4" t="str">
        <f t="shared" si="0"/>
        <v>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44">
        <v>2.73</v>
      </c>
      <c r="F20" s="37"/>
      <c r="G20" s="4">
        <v>1.8</v>
      </c>
      <c r="H20" s="4">
        <v>2.7</v>
      </c>
      <c r="I20" s="118">
        <v>12.8</v>
      </c>
      <c r="J20" s="4">
        <v>9.0999999999999998E-2</v>
      </c>
      <c r="K20" s="4">
        <v>8</v>
      </c>
      <c r="L20" s="8">
        <v>46294</v>
      </c>
      <c r="M20" s="4" t="str">
        <f t="shared" si="0"/>
        <v>화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44">
        <v>3.48</v>
      </c>
      <c r="F21" s="37"/>
      <c r="G21" s="118">
        <v>6.6</v>
      </c>
      <c r="H21" s="4">
        <v>26.4</v>
      </c>
      <c r="I21" s="118">
        <v>18.047000000000001</v>
      </c>
      <c r="J21" s="4">
        <v>7.3999999999999996E-2</v>
      </c>
      <c r="K21" s="4">
        <v>19</v>
      </c>
      <c r="L21" s="8">
        <v>46294</v>
      </c>
      <c r="M21" s="4" t="str">
        <f t="shared" si="0"/>
        <v>화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44">
        <v>7.6</v>
      </c>
      <c r="F22" s="37"/>
      <c r="G22" s="4">
        <v>1.2</v>
      </c>
      <c r="H22" s="4">
        <v>1.4</v>
      </c>
      <c r="I22" s="4">
        <v>2.1419999999999999</v>
      </c>
      <c r="J22" s="4">
        <v>2.5999999999999999E-2</v>
      </c>
      <c r="K22" s="4">
        <v>6</v>
      </c>
      <c r="L22" s="8">
        <v>46294</v>
      </c>
      <c r="M22" s="4" t="str">
        <f t="shared" si="0"/>
        <v>화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44">
        <v>6.52</v>
      </c>
      <c r="F23" s="37"/>
      <c r="G23" s="4">
        <v>1</v>
      </c>
      <c r="H23" s="4">
        <v>3.5</v>
      </c>
      <c r="I23" s="4">
        <v>1.9990000000000001</v>
      </c>
      <c r="J23" s="4">
        <v>1.4E-2</v>
      </c>
      <c r="K23" s="4">
        <v>3</v>
      </c>
      <c r="L23" s="8">
        <v>46294</v>
      </c>
      <c r="M23" s="4" t="str">
        <f t="shared" si="0"/>
        <v>화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44">
        <v>5.95</v>
      </c>
      <c r="F24" s="5" t="s">
        <v>265</v>
      </c>
      <c r="G24" s="4">
        <v>3.3</v>
      </c>
      <c r="H24" s="4">
        <v>4.4000000000000004</v>
      </c>
      <c r="I24" s="4">
        <v>7.0350000000000001</v>
      </c>
      <c r="J24" s="4">
        <v>5.0999999999999997E-2</v>
      </c>
      <c r="K24" s="4">
        <v>12</v>
      </c>
      <c r="L24" s="8">
        <v>46294</v>
      </c>
      <c r="M24" s="4" t="str">
        <f t="shared" si="0"/>
        <v>화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44">
        <v>5.88</v>
      </c>
      <c r="F25" s="37"/>
      <c r="G25" s="4">
        <v>1.6</v>
      </c>
      <c r="H25" s="4">
        <v>18</v>
      </c>
      <c r="I25" s="4">
        <v>1.538</v>
      </c>
      <c r="J25" s="4">
        <v>0.04</v>
      </c>
      <c r="K25" s="4">
        <v>5</v>
      </c>
      <c r="L25" s="8">
        <v>46294</v>
      </c>
      <c r="M25" s="4" t="str">
        <f t="shared" si="0"/>
        <v>화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4">
        <v>4.5999999999999996</v>
      </c>
      <c r="F26" s="37"/>
      <c r="G26" s="4">
        <v>1.9</v>
      </c>
      <c r="H26" s="4">
        <v>6.5</v>
      </c>
      <c r="I26" s="4">
        <v>4.782</v>
      </c>
      <c r="J26" s="4">
        <v>0.16400000000000001</v>
      </c>
      <c r="K26" s="4">
        <v>12</v>
      </c>
      <c r="L26" s="8">
        <v>46274</v>
      </c>
      <c r="M26" s="4" t="str">
        <f t="shared" si="0"/>
        <v>수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44">
        <v>4.9000000000000004</v>
      </c>
      <c r="F27" s="37"/>
      <c r="G27" s="4">
        <v>3</v>
      </c>
      <c r="H27" s="4">
        <v>13.8</v>
      </c>
      <c r="I27" s="4">
        <v>4.1879999999999997</v>
      </c>
      <c r="J27" s="4">
        <v>1.7000000000000001E-2</v>
      </c>
      <c r="K27" s="4">
        <v>19</v>
      </c>
      <c r="L27" s="8">
        <v>46274</v>
      </c>
      <c r="M27" s="4" t="str">
        <f t="shared" si="0"/>
        <v>수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44">
        <v>5.3</v>
      </c>
      <c r="F28" s="37"/>
      <c r="G28" s="4">
        <v>3.9</v>
      </c>
      <c r="H28" s="4">
        <v>18.2</v>
      </c>
      <c r="I28" s="4">
        <v>4.1689999999999996</v>
      </c>
      <c r="J28" s="4">
        <v>6.5000000000000002E-2</v>
      </c>
      <c r="K28" s="4">
        <v>20</v>
      </c>
      <c r="L28" s="8">
        <v>46274</v>
      </c>
      <c r="M28" s="4" t="str">
        <f t="shared" si="0"/>
        <v>수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44">
        <v>6.1</v>
      </c>
      <c r="F29" s="37"/>
      <c r="G29" s="4">
        <v>3.5</v>
      </c>
      <c r="H29" s="4">
        <v>16.399999999999999</v>
      </c>
      <c r="I29" s="4">
        <v>4.8710000000000004</v>
      </c>
      <c r="J29" s="4">
        <v>6.4000000000000001E-2</v>
      </c>
      <c r="K29" s="4">
        <v>33</v>
      </c>
      <c r="L29" s="8">
        <v>46274</v>
      </c>
      <c r="M29" s="4" t="str">
        <f t="shared" si="0"/>
        <v>수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44">
        <v>6.6</v>
      </c>
      <c r="F30" s="37"/>
      <c r="G30" s="4">
        <v>3.3</v>
      </c>
      <c r="H30" s="4">
        <v>19.600000000000001</v>
      </c>
      <c r="I30" s="4">
        <v>4.6779999999999999</v>
      </c>
      <c r="J30" s="4">
        <v>5.0999999999999997E-2</v>
      </c>
      <c r="K30" s="4">
        <v>21</v>
      </c>
      <c r="L30" s="8">
        <v>46275</v>
      </c>
      <c r="M30" s="4" t="str">
        <f t="shared" si="0"/>
        <v>목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44">
        <v>6.4</v>
      </c>
      <c r="F31" s="37"/>
      <c r="G31" s="4">
        <v>3</v>
      </c>
      <c r="H31" s="4">
        <v>19.8</v>
      </c>
      <c r="I31" s="4">
        <v>4.5209999999999999</v>
      </c>
      <c r="J31" s="4">
        <v>4.1000000000000002E-2</v>
      </c>
      <c r="K31" s="4">
        <v>20</v>
      </c>
      <c r="L31" s="8">
        <v>46275</v>
      </c>
      <c r="M31" s="4" t="str">
        <f t="shared" si="0"/>
        <v>목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44">
        <v>6</v>
      </c>
      <c r="F32" s="37"/>
      <c r="G32" s="4">
        <v>3</v>
      </c>
      <c r="H32" s="4">
        <v>24.2</v>
      </c>
      <c r="I32" s="4">
        <v>3.7450000000000001</v>
      </c>
      <c r="J32" s="4">
        <v>3.7999999999999999E-2</v>
      </c>
      <c r="K32" s="4">
        <v>19</v>
      </c>
      <c r="L32" s="8">
        <v>46275</v>
      </c>
      <c r="M32" s="4" t="str">
        <f t="shared" si="0"/>
        <v>목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44">
        <v>3.92</v>
      </c>
      <c r="F33" s="37"/>
      <c r="G33" s="4">
        <v>1.9</v>
      </c>
      <c r="H33" s="4">
        <v>1.7</v>
      </c>
      <c r="I33" s="12">
        <v>13.962</v>
      </c>
      <c r="J33" s="4">
        <v>3.6999999999999998E-2</v>
      </c>
      <c r="K33" s="4">
        <v>12</v>
      </c>
      <c r="L33" s="8">
        <v>46294</v>
      </c>
      <c r="M33" s="4" t="str">
        <f t="shared" si="0"/>
        <v>화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119">
        <v>29.35</v>
      </c>
      <c r="F34" s="37"/>
      <c r="G34" s="4">
        <v>5</v>
      </c>
      <c r="H34" s="4">
        <v>13.2</v>
      </c>
      <c r="I34" s="4">
        <v>4.4969999999999999</v>
      </c>
      <c r="J34" s="4">
        <v>0.13500000000000001</v>
      </c>
      <c r="K34" s="4">
        <v>29</v>
      </c>
      <c r="L34" s="8">
        <v>46294</v>
      </c>
      <c r="M34" s="4" t="str">
        <f t="shared" si="0"/>
        <v>화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44">
        <v>2.93</v>
      </c>
      <c r="F35" s="37"/>
      <c r="G35" s="4">
        <v>0.4</v>
      </c>
      <c r="H35" s="4">
        <v>0.6</v>
      </c>
      <c r="I35" s="4">
        <v>3.9750000000000001</v>
      </c>
      <c r="J35" s="4">
        <v>1.9E-2</v>
      </c>
      <c r="K35" s="4">
        <v>9</v>
      </c>
      <c r="L35" s="8">
        <v>46294</v>
      </c>
      <c r="M35" s="4" t="str">
        <f t="shared" si="0"/>
        <v>화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44">
        <v>1.87</v>
      </c>
      <c r="F36" s="37"/>
      <c r="G36" s="4">
        <v>1.2</v>
      </c>
      <c r="H36" s="4">
        <v>2.5</v>
      </c>
      <c r="I36" s="4">
        <v>3.2789999999999999</v>
      </c>
      <c r="J36" s="4">
        <v>2.8000000000000001E-2</v>
      </c>
      <c r="K36" s="4">
        <v>16</v>
      </c>
      <c r="L36" s="8">
        <v>46294</v>
      </c>
      <c r="M36" s="4" t="str">
        <f t="shared" si="0"/>
        <v>화</v>
      </c>
      <c r="N36" s="3" t="s">
        <v>107</v>
      </c>
    </row>
    <row r="37" spans="1:14" ht="20.25" customHeight="1" x14ac:dyDescent="0.3">
      <c r="A37" s="2">
        <v>35</v>
      </c>
      <c r="B37" s="106" t="s">
        <v>119</v>
      </c>
      <c r="C37" s="1" t="s">
        <v>98</v>
      </c>
      <c r="D37" s="33" t="s">
        <v>99</v>
      </c>
      <c r="E37" s="44">
        <v>5.31</v>
      </c>
      <c r="F37" s="37"/>
      <c r="G37" s="4">
        <v>2.8</v>
      </c>
      <c r="H37" s="4">
        <v>1.9</v>
      </c>
      <c r="I37" s="4">
        <v>8.8889999999999993</v>
      </c>
      <c r="J37" s="4">
        <v>2.9000000000000001E-2</v>
      </c>
      <c r="K37" s="4">
        <v>9</v>
      </c>
      <c r="L37" s="8">
        <v>46294</v>
      </c>
      <c r="M37" s="4" t="str">
        <f t="shared" si="0"/>
        <v>화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44">
        <v>2.95</v>
      </c>
      <c r="F38" s="37"/>
      <c r="G38" s="4">
        <v>0.8</v>
      </c>
      <c r="H38" s="4">
        <v>2.2000000000000002</v>
      </c>
      <c r="I38" s="4">
        <v>2.6190000000000002</v>
      </c>
      <c r="J38" s="4">
        <v>2.7E-2</v>
      </c>
      <c r="K38" s="4">
        <v>16</v>
      </c>
      <c r="L38" s="8">
        <v>46294</v>
      </c>
      <c r="M38" s="4" t="str">
        <f t="shared" si="0"/>
        <v>화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44">
        <v>3.7</v>
      </c>
      <c r="F39" s="37"/>
      <c r="G39" s="4">
        <v>5.9</v>
      </c>
      <c r="H39" s="4">
        <v>15.4</v>
      </c>
      <c r="I39" s="4">
        <v>0.69599999999999995</v>
      </c>
      <c r="J39" s="4">
        <v>6.2E-2</v>
      </c>
      <c r="K39" s="4">
        <v>17</v>
      </c>
      <c r="L39" s="8">
        <v>46274</v>
      </c>
      <c r="M39" s="4" t="str">
        <f t="shared" si="0"/>
        <v>수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F4B3-E8C8-439B-81A1-7763845C9DC6}">
  <sheetPr>
    <tabColor rgb="FF0070C0"/>
    <pageSetUpPr fitToPage="1"/>
  </sheetPr>
  <dimension ref="A1:N4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1" sqref="D11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263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4">
        <v>2.4</v>
      </c>
      <c r="F3" s="5">
        <v>3.8</v>
      </c>
      <c r="G3" s="4">
        <v>1.5</v>
      </c>
      <c r="H3" s="4">
        <v>6</v>
      </c>
      <c r="I3" s="4">
        <v>4.4950000000000001</v>
      </c>
      <c r="J3" s="4">
        <v>5.8000000000000003E-2</v>
      </c>
      <c r="K3" s="4">
        <v>11</v>
      </c>
      <c r="L3" s="8">
        <v>46258</v>
      </c>
      <c r="M3" s="4" t="str">
        <f>TEXT(L3,"aaa")</f>
        <v>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4">
        <v>2.1</v>
      </c>
      <c r="F4" s="37"/>
      <c r="G4" s="4">
        <v>1.2</v>
      </c>
      <c r="H4" s="4">
        <v>3.7</v>
      </c>
      <c r="I4" s="4">
        <v>1.42</v>
      </c>
      <c r="J4" s="4">
        <v>0.01</v>
      </c>
      <c r="K4" s="4">
        <v>6</v>
      </c>
      <c r="L4" s="8">
        <v>46245</v>
      </c>
      <c r="M4" s="4" t="str">
        <f t="shared" ref="M4:M39" si="0">TEXT(L4,"aaa")</f>
        <v>화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4">
        <v>2.7</v>
      </c>
      <c r="F5" s="37"/>
      <c r="G5" s="4">
        <v>1.4</v>
      </c>
      <c r="H5" s="4">
        <v>4.3</v>
      </c>
      <c r="I5" s="4">
        <v>2.1989999999999998</v>
      </c>
      <c r="J5" s="4">
        <v>1.2E-2</v>
      </c>
      <c r="K5" s="4">
        <v>7</v>
      </c>
      <c r="L5" s="8">
        <v>46245</v>
      </c>
      <c r="M5" s="4" t="str">
        <f t="shared" si="0"/>
        <v>화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4">
        <v>3</v>
      </c>
      <c r="F6" s="37"/>
      <c r="G6" s="4">
        <v>1.4</v>
      </c>
      <c r="H6" s="4">
        <v>5.7</v>
      </c>
      <c r="I6" s="4">
        <v>2.0670000000000002</v>
      </c>
      <c r="J6" s="4">
        <v>1.0999999999999999E-2</v>
      </c>
      <c r="K6" s="4">
        <v>12</v>
      </c>
      <c r="L6" s="8">
        <v>46245</v>
      </c>
      <c r="M6" s="4" t="str">
        <f t="shared" si="0"/>
        <v>화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4">
        <v>2.9</v>
      </c>
      <c r="F7" s="37"/>
      <c r="G7" s="4">
        <v>1.1000000000000001</v>
      </c>
      <c r="H7" s="4">
        <v>2.6</v>
      </c>
      <c r="I7" s="4">
        <v>3.8479999999999999</v>
      </c>
      <c r="J7" s="4">
        <v>0.1</v>
      </c>
      <c r="K7" s="4">
        <v>10</v>
      </c>
      <c r="L7" s="8">
        <v>46258</v>
      </c>
      <c r="M7" s="4" t="str">
        <f t="shared" si="0"/>
        <v>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4">
        <v>2.9</v>
      </c>
      <c r="F8" s="5">
        <v>3.7</v>
      </c>
      <c r="G8" s="4">
        <v>1.4</v>
      </c>
      <c r="H8" s="4">
        <v>3.1</v>
      </c>
      <c r="I8" s="4">
        <v>3.7879999999999998</v>
      </c>
      <c r="J8" s="4">
        <v>9.6000000000000002E-2</v>
      </c>
      <c r="K8" s="4">
        <v>14</v>
      </c>
      <c r="L8" s="8">
        <v>46258</v>
      </c>
      <c r="M8" s="4" t="str">
        <f t="shared" si="0"/>
        <v>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4">
        <v>3</v>
      </c>
      <c r="F9" s="37"/>
      <c r="G9" s="4">
        <v>1.5</v>
      </c>
      <c r="H9" s="4">
        <v>2.9</v>
      </c>
      <c r="I9" s="4">
        <v>3.7280000000000002</v>
      </c>
      <c r="J9" s="4">
        <v>9.8000000000000004E-2</v>
      </c>
      <c r="K9" s="4">
        <v>12</v>
      </c>
      <c r="L9" s="8">
        <v>46258</v>
      </c>
      <c r="M9" s="4" t="str">
        <f t="shared" si="0"/>
        <v>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4">
        <v>3.4</v>
      </c>
      <c r="F10" s="37"/>
      <c r="G10" s="4">
        <v>1.2</v>
      </c>
      <c r="H10" s="4">
        <v>1.5</v>
      </c>
      <c r="I10" s="4">
        <v>6.7130000000000001</v>
      </c>
      <c r="J10" s="4">
        <v>2.8000000000000001E-2</v>
      </c>
      <c r="K10" s="4">
        <v>12</v>
      </c>
      <c r="L10" s="8">
        <v>46258</v>
      </c>
      <c r="M10" s="4" t="str">
        <f t="shared" si="0"/>
        <v>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4">
        <v>3.4</v>
      </c>
      <c r="F11" s="37"/>
      <c r="G11" s="4">
        <v>1.3</v>
      </c>
      <c r="H11" s="4">
        <v>3</v>
      </c>
      <c r="I11" s="4">
        <v>6.702</v>
      </c>
      <c r="J11" s="4">
        <v>2.7E-2</v>
      </c>
      <c r="K11" s="4">
        <v>11</v>
      </c>
      <c r="L11" s="8">
        <v>46258</v>
      </c>
      <c r="M11" s="4" t="str">
        <f t="shared" si="0"/>
        <v>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4">
        <v>3</v>
      </c>
      <c r="F12" s="5">
        <v>3.6</v>
      </c>
      <c r="G12" s="4">
        <v>1.3</v>
      </c>
      <c r="H12" s="4">
        <v>3</v>
      </c>
      <c r="I12" s="4">
        <v>3.8519999999999999</v>
      </c>
      <c r="J12" s="4">
        <v>9.8000000000000004E-2</v>
      </c>
      <c r="K12" s="4">
        <v>8</v>
      </c>
      <c r="L12" s="8">
        <v>46258</v>
      </c>
      <c r="M12" s="4" t="str">
        <f t="shared" si="0"/>
        <v>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4">
        <v>2.5</v>
      </c>
      <c r="F13" s="37"/>
      <c r="G13" s="4">
        <v>1.1000000000000001</v>
      </c>
      <c r="H13" s="4">
        <v>5.7</v>
      </c>
      <c r="I13" s="4">
        <v>4.4210000000000003</v>
      </c>
      <c r="J13" s="4">
        <v>5.5E-2</v>
      </c>
      <c r="K13" s="4">
        <v>10</v>
      </c>
      <c r="L13" s="8">
        <v>46258</v>
      </c>
      <c r="M13" s="4" t="str">
        <f t="shared" si="0"/>
        <v>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4">
        <v>2.5</v>
      </c>
      <c r="F14" s="37"/>
      <c r="G14" s="4">
        <v>1.2</v>
      </c>
      <c r="H14" s="4">
        <v>6.1</v>
      </c>
      <c r="I14" s="4">
        <v>4.42</v>
      </c>
      <c r="J14" s="4">
        <v>5.7000000000000002E-2</v>
      </c>
      <c r="K14" s="4">
        <v>10</v>
      </c>
      <c r="L14" s="8">
        <v>46258</v>
      </c>
      <c r="M14" s="4" t="str">
        <f t="shared" si="0"/>
        <v>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4">
        <v>3.4</v>
      </c>
      <c r="F15" s="37"/>
      <c r="G15" s="4">
        <v>1.3</v>
      </c>
      <c r="H15" s="4">
        <v>1.5</v>
      </c>
      <c r="I15" s="4">
        <v>6.6710000000000003</v>
      </c>
      <c r="J15" s="4">
        <v>2.5000000000000001E-2</v>
      </c>
      <c r="K15" s="4">
        <v>11</v>
      </c>
      <c r="L15" s="8">
        <v>46258</v>
      </c>
      <c r="M15" s="4" t="str">
        <f t="shared" si="0"/>
        <v>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4">
        <v>3.4</v>
      </c>
      <c r="F16" s="37"/>
      <c r="G16" s="4">
        <v>1.3</v>
      </c>
      <c r="H16" s="4">
        <v>1.4</v>
      </c>
      <c r="I16" s="4">
        <v>6.6369999999999996</v>
      </c>
      <c r="J16" s="4">
        <v>2.5000000000000001E-2</v>
      </c>
      <c r="K16" s="4">
        <v>12</v>
      </c>
      <c r="L16" s="8">
        <v>46258</v>
      </c>
      <c r="M16" s="4" t="str">
        <f t="shared" si="0"/>
        <v>월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4">
        <v>5.0999999999999996</v>
      </c>
      <c r="F17" s="37"/>
      <c r="G17" s="4">
        <v>1.9</v>
      </c>
      <c r="H17" s="4">
        <v>8.6</v>
      </c>
      <c r="I17" s="4">
        <v>8.0809999999999995</v>
      </c>
      <c r="J17" s="4">
        <v>0.82099999999999995</v>
      </c>
      <c r="K17" s="4">
        <v>23</v>
      </c>
      <c r="L17" s="8">
        <v>46258</v>
      </c>
      <c r="M17" s="4" t="str">
        <f t="shared" si="0"/>
        <v>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4">
        <v>5</v>
      </c>
      <c r="F18" s="37"/>
      <c r="G18" s="4">
        <v>2.1</v>
      </c>
      <c r="H18" s="4">
        <v>18</v>
      </c>
      <c r="I18" s="4">
        <v>8.0960000000000001</v>
      </c>
      <c r="J18" s="4">
        <v>0.82699999999999996</v>
      </c>
      <c r="K18" s="4">
        <v>21</v>
      </c>
      <c r="L18" s="8">
        <v>46258</v>
      </c>
      <c r="M18" s="4" t="str">
        <f t="shared" si="0"/>
        <v>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4">
        <v>2.5</v>
      </c>
      <c r="F19" s="5">
        <v>3.5</v>
      </c>
      <c r="G19" s="4">
        <v>1.6</v>
      </c>
      <c r="H19" s="4">
        <v>6.4</v>
      </c>
      <c r="I19" s="4">
        <v>4.4320000000000004</v>
      </c>
      <c r="J19" s="4">
        <v>5.8000000000000003E-2</v>
      </c>
      <c r="K19" s="4">
        <v>11</v>
      </c>
      <c r="L19" s="8">
        <v>46258</v>
      </c>
      <c r="M19" s="4" t="str">
        <f t="shared" si="0"/>
        <v>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4">
        <v>2.8</v>
      </c>
      <c r="F20" s="37"/>
      <c r="G20" s="4">
        <v>1.5</v>
      </c>
      <c r="H20" s="4">
        <v>1.1000000000000001</v>
      </c>
      <c r="I20" s="4">
        <v>2.4159999999999999</v>
      </c>
      <c r="J20" s="4">
        <v>3.5999999999999997E-2</v>
      </c>
      <c r="K20" s="4">
        <v>7</v>
      </c>
      <c r="L20" s="8">
        <v>46246</v>
      </c>
      <c r="M20" s="4" t="str">
        <f t="shared" si="0"/>
        <v>수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4">
        <v>3.4</v>
      </c>
      <c r="F21" s="37"/>
      <c r="G21" s="4">
        <v>1.5</v>
      </c>
      <c r="H21" s="4">
        <v>2.8</v>
      </c>
      <c r="I21" s="4">
        <v>3.7080000000000002</v>
      </c>
      <c r="J21" s="4">
        <v>0.107</v>
      </c>
      <c r="K21" s="4">
        <v>9</v>
      </c>
      <c r="L21" s="8">
        <v>46246</v>
      </c>
      <c r="M21" s="4" t="str">
        <f t="shared" si="0"/>
        <v>수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4">
        <v>5.4</v>
      </c>
      <c r="F22" s="37"/>
      <c r="G22" s="4">
        <v>4.0999999999999996</v>
      </c>
      <c r="H22" s="4">
        <v>4.8</v>
      </c>
      <c r="I22" s="4">
        <v>5.077</v>
      </c>
      <c r="J22" s="4">
        <v>8.4000000000000005E-2</v>
      </c>
      <c r="K22" s="4">
        <v>22</v>
      </c>
      <c r="L22" s="8">
        <v>46246</v>
      </c>
      <c r="M22" s="4" t="str">
        <f t="shared" si="0"/>
        <v>수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4">
        <v>5.7</v>
      </c>
      <c r="F23" s="37"/>
      <c r="G23" s="4">
        <v>2.2999999999999998</v>
      </c>
      <c r="H23" s="4">
        <v>6.2</v>
      </c>
      <c r="I23" s="4">
        <v>4.4279999999999999</v>
      </c>
      <c r="J23" s="4">
        <v>8.4000000000000005E-2</v>
      </c>
      <c r="K23" s="4">
        <v>16</v>
      </c>
      <c r="L23" s="8">
        <v>46246</v>
      </c>
      <c r="M23" s="4" t="str">
        <f t="shared" si="0"/>
        <v>수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4">
        <v>1.8</v>
      </c>
      <c r="F24" s="5">
        <v>3.6</v>
      </c>
      <c r="G24" s="4">
        <v>1.6</v>
      </c>
      <c r="H24" s="4">
        <v>7.8</v>
      </c>
      <c r="I24" s="4">
        <v>4.7350000000000003</v>
      </c>
      <c r="J24" s="4">
        <v>6.6000000000000003E-2</v>
      </c>
      <c r="K24" s="4">
        <v>16</v>
      </c>
      <c r="L24" s="8">
        <v>46246</v>
      </c>
      <c r="M24" s="4" t="str">
        <f t="shared" si="0"/>
        <v>수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4">
        <v>5.4</v>
      </c>
      <c r="F25" s="37"/>
      <c r="G25" s="4">
        <v>3.6</v>
      </c>
      <c r="H25" s="4">
        <v>8.8000000000000007</v>
      </c>
      <c r="I25" s="4">
        <v>5.0380000000000003</v>
      </c>
      <c r="J25" s="4">
        <v>7.0000000000000007E-2</v>
      </c>
      <c r="K25" s="4">
        <v>12</v>
      </c>
      <c r="L25" s="8">
        <v>46246</v>
      </c>
      <c r="M25" s="4" t="str">
        <f t="shared" si="0"/>
        <v>수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">
        <v>5.5</v>
      </c>
      <c r="F26" s="37"/>
      <c r="G26" s="4">
        <v>2.2999999999999998</v>
      </c>
      <c r="H26" s="4">
        <v>13.6</v>
      </c>
      <c r="I26" s="4">
        <v>3.4929999999999999</v>
      </c>
      <c r="J26" s="4">
        <v>1.9E-2</v>
      </c>
      <c r="K26" s="4">
        <v>12</v>
      </c>
      <c r="L26" s="8">
        <v>46247</v>
      </c>
      <c r="M26" s="4" t="str">
        <f t="shared" si="0"/>
        <v>목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4">
        <v>6.9</v>
      </c>
      <c r="F27" s="37"/>
      <c r="G27" s="4">
        <v>3</v>
      </c>
      <c r="H27" s="4">
        <v>13.8</v>
      </c>
      <c r="I27" s="4">
        <v>4.1879999999999997</v>
      </c>
      <c r="J27" s="4">
        <v>1.7000000000000001E-2</v>
      </c>
      <c r="K27" s="4">
        <v>19</v>
      </c>
      <c r="L27" s="8">
        <v>46247</v>
      </c>
      <c r="M27" s="4" t="str">
        <f t="shared" si="0"/>
        <v>목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4">
        <v>6.9</v>
      </c>
      <c r="F28" s="37"/>
      <c r="G28" s="4">
        <v>3.9</v>
      </c>
      <c r="H28" s="4">
        <v>18.2</v>
      </c>
      <c r="I28" s="4">
        <v>4.1689999999999996</v>
      </c>
      <c r="J28" s="4">
        <v>6.5000000000000002E-2</v>
      </c>
      <c r="K28" s="4">
        <v>20</v>
      </c>
      <c r="L28" s="8">
        <v>46247</v>
      </c>
      <c r="M28" s="4" t="str">
        <f t="shared" si="0"/>
        <v>목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4">
        <v>7.5</v>
      </c>
      <c r="F29" s="37"/>
      <c r="G29" s="4">
        <v>3.5</v>
      </c>
      <c r="H29" s="4">
        <v>16.399999999999999</v>
      </c>
      <c r="I29" s="4">
        <v>4.8710000000000004</v>
      </c>
      <c r="J29" s="4">
        <v>6.4000000000000001E-2</v>
      </c>
      <c r="K29" s="4">
        <v>33</v>
      </c>
      <c r="L29" s="8">
        <v>46247</v>
      </c>
      <c r="M29" s="4" t="str">
        <f t="shared" si="0"/>
        <v>목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4">
        <v>5.6</v>
      </c>
      <c r="F30" s="37"/>
      <c r="G30" s="4">
        <v>3.3</v>
      </c>
      <c r="H30" s="4">
        <v>19.600000000000001</v>
      </c>
      <c r="I30" s="4">
        <v>4.6779999999999999</v>
      </c>
      <c r="J30" s="4">
        <v>5.0999999999999997E-2</v>
      </c>
      <c r="K30" s="4">
        <v>21</v>
      </c>
      <c r="L30" s="8">
        <v>46245</v>
      </c>
      <c r="M30" s="4" t="str">
        <f t="shared" si="0"/>
        <v>화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4">
        <v>5.4</v>
      </c>
      <c r="F31" s="37"/>
      <c r="G31" s="4">
        <v>3</v>
      </c>
      <c r="H31" s="4">
        <v>19.8</v>
      </c>
      <c r="I31" s="4">
        <v>4.5209999999999999</v>
      </c>
      <c r="J31" s="4">
        <v>4.1000000000000002E-2</v>
      </c>
      <c r="K31" s="4">
        <v>20</v>
      </c>
      <c r="L31" s="8">
        <v>46245</v>
      </c>
      <c r="M31" s="4" t="str">
        <f t="shared" si="0"/>
        <v>화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4">
        <v>5.7</v>
      </c>
      <c r="F32" s="37"/>
      <c r="G32" s="4">
        <v>3</v>
      </c>
      <c r="H32" s="4">
        <v>24.2</v>
      </c>
      <c r="I32" s="4">
        <v>3.7450000000000001</v>
      </c>
      <c r="J32" s="4">
        <v>3.7999999999999999E-2</v>
      </c>
      <c r="K32" s="4">
        <v>19</v>
      </c>
      <c r="L32" s="8">
        <v>46245</v>
      </c>
      <c r="M32" s="4" t="str">
        <f t="shared" si="0"/>
        <v>화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4">
        <v>1.3</v>
      </c>
      <c r="F33" s="37"/>
      <c r="G33" s="4">
        <v>1.9</v>
      </c>
      <c r="H33" s="4">
        <v>1.7</v>
      </c>
      <c r="I33" s="12">
        <v>13.962</v>
      </c>
      <c r="J33" s="4">
        <v>3.6999999999999998E-2</v>
      </c>
      <c r="K33" s="4">
        <v>12</v>
      </c>
      <c r="L33" s="8">
        <v>46246</v>
      </c>
      <c r="M33" s="4" t="str">
        <f t="shared" si="0"/>
        <v>수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4">
        <v>7.8</v>
      </c>
      <c r="F34" s="37"/>
      <c r="G34" s="4">
        <v>5</v>
      </c>
      <c r="H34" s="4">
        <v>13.2</v>
      </c>
      <c r="I34" s="4">
        <v>4.4969999999999999</v>
      </c>
      <c r="J34" s="4">
        <v>0.13500000000000001</v>
      </c>
      <c r="K34" s="4">
        <v>29</v>
      </c>
      <c r="L34" s="8">
        <v>46246</v>
      </c>
      <c r="M34" s="4" t="str">
        <f t="shared" si="0"/>
        <v>수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4">
        <v>0.9</v>
      </c>
      <c r="F35" s="37"/>
      <c r="G35" s="4">
        <v>0.4</v>
      </c>
      <c r="H35" s="4">
        <v>0.6</v>
      </c>
      <c r="I35" s="4">
        <v>3.9750000000000001</v>
      </c>
      <c r="J35" s="4">
        <v>1.9E-2</v>
      </c>
      <c r="K35" s="4">
        <v>9</v>
      </c>
      <c r="L35" s="8">
        <v>46246</v>
      </c>
      <c r="M35" s="4" t="str">
        <f t="shared" si="0"/>
        <v>수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4">
        <v>0.7</v>
      </c>
      <c r="F36" s="37"/>
      <c r="G36" s="4">
        <v>1.2</v>
      </c>
      <c r="H36" s="4">
        <v>2.5</v>
      </c>
      <c r="I36" s="4">
        <v>3.2789999999999999</v>
      </c>
      <c r="J36" s="4">
        <v>2.8000000000000001E-2</v>
      </c>
      <c r="K36" s="4">
        <v>16</v>
      </c>
      <c r="L36" s="8">
        <v>46246</v>
      </c>
      <c r="M36" s="4" t="str">
        <f t="shared" si="0"/>
        <v>수</v>
      </c>
      <c r="N36" s="3" t="s">
        <v>107</v>
      </c>
    </row>
    <row r="37" spans="1:14" ht="20.25" customHeight="1" x14ac:dyDescent="0.3">
      <c r="A37" s="2">
        <v>35</v>
      </c>
      <c r="B37" s="105" t="s">
        <v>119</v>
      </c>
      <c r="C37" s="1" t="s">
        <v>98</v>
      </c>
      <c r="D37" s="33" t="s">
        <v>99</v>
      </c>
      <c r="E37" s="4">
        <v>3.7</v>
      </c>
      <c r="F37" s="37"/>
      <c r="G37" s="4">
        <v>2.8</v>
      </c>
      <c r="H37" s="4">
        <v>1.9</v>
      </c>
      <c r="I37" s="4">
        <v>8.8889999999999993</v>
      </c>
      <c r="J37" s="4">
        <v>2.9000000000000001E-2</v>
      </c>
      <c r="K37" s="4">
        <v>9</v>
      </c>
      <c r="L37" s="8">
        <v>46246</v>
      </c>
      <c r="M37" s="4" t="str">
        <f t="shared" si="0"/>
        <v>수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4">
        <v>1.2</v>
      </c>
      <c r="F38" s="37"/>
      <c r="G38" s="4">
        <v>0.8</v>
      </c>
      <c r="H38" s="4">
        <v>2.2000000000000002</v>
      </c>
      <c r="I38" s="4">
        <v>2.6190000000000002</v>
      </c>
      <c r="J38" s="4">
        <v>2.7E-2</v>
      </c>
      <c r="K38" s="4">
        <v>16</v>
      </c>
      <c r="L38" s="8">
        <v>46246</v>
      </c>
      <c r="M38" s="4" t="str">
        <f t="shared" si="0"/>
        <v>수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4">
        <v>6.6</v>
      </c>
      <c r="F39" s="37"/>
      <c r="G39" s="4">
        <v>5.9</v>
      </c>
      <c r="H39" s="4">
        <v>15.4</v>
      </c>
      <c r="I39" s="4">
        <v>0.69599999999999995</v>
      </c>
      <c r="J39" s="4">
        <v>6.2E-2</v>
      </c>
      <c r="K39" s="4">
        <v>17</v>
      </c>
      <c r="L39" s="8">
        <v>46247</v>
      </c>
      <c r="M39" s="4" t="str">
        <f t="shared" si="0"/>
        <v>목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6ADE-6EE2-4F5B-868C-50373E0330A3}">
  <sheetPr>
    <tabColor rgb="FF0070C0"/>
    <pageSetUpPr fitToPage="1"/>
  </sheetPr>
  <dimension ref="A1:N4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5" sqref="L35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262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4">
        <v>2.93</v>
      </c>
      <c r="F3" s="5">
        <v>4.3</v>
      </c>
      <c r="G3" s="4">
        <v>1.1000000000000001</v>
      </c>
      <c r="H3" s="4">
        <v>3.1</v>
      </c>
      <c r="I3" s="4">
        <v>5.6959999999999997</v>
      </c>
      <c r="J3" s="4">
        <v>0.05</v>
      </c>
      <c r="K3" s="4">
        <v>12</v>
      </c>
      <c r="L3" s="8">
        <v>46232</v>
      </c>
      <c r="M3" s="4" t="str">
        <f>TEXT(L3,"aaa")</f>
        <v>수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4">
        <v>1.93</v>
      </c>
      <c r="F4" s="37"/>
      <c r="G4" s="4">
        <v>1.5</v>
      </c>
      <c r="H4" s="4">
        <v>18.8</v>
      </c>
      <c r="I4" s="4">
        <v>1.865</v>
      </c>
      <c r="J4" s="4">
        <v>4.3999999999999997E-2</v>
      </c>
      <c r="K4" s="4">
        <v>13</v>
      </c>
      <c r="L4" s="8">
        <v>46232</v>
      </c>
      <c r="M4" s="4" t="str">
        <f t="shared" ref="M4:M39" si="0">TEXT(L4,"aaa")</f>
        <v>수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4">
        <v>1.87</v>
      </c>
      <c r="F5" s="37"/>
      <c r="G5" s="4">
        <v>1.4</v>
      </c>
      <c r="H5" s="4">
        <v>19.5</v>
      </c>
      <c r="I5" s="4">
        <v>1.863</v>
      </c>
      <c r="J5" s="4">
        <v>4.3999999999999997E-2</v>
      </c>
      <c r="K5" s="4">
        <v>15</v>
      </c>
      <c r="L5" s="8">
        <v>46232</v>
      </c>
      <c r="M5" s="4" t="str">
        <f t="shared" si="0"/>
        <v>수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4">
        <v>1.83</v>
      </c>
      <c r="F6" s="37"/>
      <c r="G6" s="4">
        <v>1.5</v>
      </c>
      <c r="H6" s="4">
        <v>18.7</v>
      </c>
      <c r="I6" s="4">
        <v>2.3380000000000001</v>
      </c>
      <c r="J6" s="4">
        <v>4.7E-2</v>
      </c>
      <c r="K6" s="4">
        <v>15</v>
      </c>
      <c r="L6" s="8">
        <v>46232</v>
      </c>
      <c r="M6" s="4" t="str">
        <f t="shared" si="0"/>
        <v>수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4">
        <v>2.4</v>
      </c>
      <c r="F7" s="37"/>
      <c r="G7" s="4">
        <v>0.7</v>
      </c>
      <c r="H7" s="4">
        <v>2.2000000000000002</v>
      </c>
      <c r="I7" s="4">
        <v>4.5739999999999998</v>
      </c>
      <c r="J7" s="4">
        <v>7.5999999999999998E-2</v>
      </c>
      <c r="K7" s="4">
        <v>9</v>
      </c>
      <c r="L7" s="8">
        <v>46232</v>
      </c>
      <c r="M7" s="4" t="str">
        <f t="shared" si="0"/>
        <v>수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4">
        <v>2.48</v>
      </c>
      <c r="F8" s="5">
        <v>3.3</v>
      </c>
      <c r="G8" s="4">
        <v>1.1000000000000001</v>
      </c>
      <c r="H8" s="4">
        <v>2.7</v>
      </c>
      <c r="I8" s="4">
        <v>4.3079999999999998</v>
      </c>
      <c r="J8" s="4">
        <v>7.2999999999999995E-2</v>
      </c>
      <c r="K8" s="4">
        <v>14</v>
      </c>
      <c r="L8" s="8">
        <v>46232</v>
      </c>
      <c r="M8" s="4" t="str">
        <f t="shared" si="0"/>
        <v>수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4">
        <v>2.5</v>
      </c>
      <c r="F9" s="37"/>
      <c r="G9" s="4">
        <v>0.7</v>
      </c>
      <c r="H9" s="4">
        <v>2.2999999999999998</v>
      </c>
      <c r="I9" s="4">
        <v>4.54</v>
      </c>
      <c r="J9" s="4">
        <v>7.4999999999999997E-2</v>
      </c>
      <c r="K9" s="4">
        <v>11</v>
      </c>
      <c r="L9" s="8">
        <v>46232</v>
      </c>
      <c r="M9" s="4" t="str">
        <f t="shared" si="0"/>
        <v>수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4">
        <v>2.9</v>
      </c>
      <c r="F10" s="37"/>
      <c r="G10" s="4">
        <v>0.7</v>
      </c>
      <c r="H10" s="4">
        <v>2.7</v>
      </c>
      <c r="I10" s="4">
        <v>5.71</v>
      </c>
      <c r="J10" s="4">
        <v>0.05</v>
      </c>
      <c r="K10" s="4">
        <v>9</v>
      </c>
      <c r="L10" s="8">
        <v>46232</v>
      </c>
      <c r="M10" s="4" t="str">
        <f t="shared" si="0"/>
        <v>수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4">
        <v>2.9</v>
      </c>
      <c r="F11" s="37"/>
      <c r="G11" s="4">
        <v>0.6</v>
      </c>
      <c r="H11" s="4">
        <v>2.4</v>
      </c>
      <c r="I11" s="4">
        <v>5.8410000000000002</v>
      </c>
      <c r="J11" s="4">
        <v>5.1999999999999998E-2</v>
      </c>
      <c r="K11" s="4">
        <v>10</v>
      </c>
      <c r="L11" s="8">
        <v>46232</v>
      </c>
      <c r="M11" s="4" t="str">
        <f t="shared" si="0"/>
        <v>수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4">
        <v>2.2000000000000002</v>
      </c>
      <c r="F12" s="5">
        <v>4</v>
      </c>
      <c r="G12" s="4">
        <v>1.5</v>
      </c>
      <c r="H12" s="4">
        <v>2.2999999999999998</v>
      </c>
      <c r="I12" s="4">
        <v>6.6230000000000002</v>
      </c>
      <c r="J12" s="4">
        <v>6.4000000000000001E-2</v>
      </c>
      <c r="K12" s="4">
        <v>8</v>
      </c>
      <c r="L12" s="8">
        <v>46232</v>
      </c>
      <c r="M12" s="4" t="str">
        <f t="shared" si="0"/>
        <v>수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4">
        <v>2.1</v>
      </c>
      <c r="F13" s="37"/>
      <c r="G13" s="4">
        <v>0.7</v>
      </c>
      <c r="H13" s="4">
        <v>2.2000000000000002</v>
      </c>
      <c r="I13" s="4">
        <v>6.9189999999999996</v>
      </c>
      <c r="J13" s="4">
        <v>6.4000000000000001E-2</v>
      </c>
      <c r="K13" s="4">
        <v>21</v>
      </c>
      <c r="L13" s="8">
        <v>46232</v>
      </c>
      <c r="M13" s="4" t="str">
        <f t="shared" si="0"/>
        <v>수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4">
        <v>2</v>
      </c>
      <c r="F14" s="37"/>
      <c r="G14" s="4">
        <v>0.7</v>
      </c>
      <c r="H14" s="4">
        <v>1</v>
      </c>
      <c r="I14" s="4">
        <v>4.4619999999999997</v>
      </c>
      <c r="J14" s="4">
        <v>3.9E-2</v>
      </c>
      <c r="K14" s="4">
        <v>6</v>
      </c>
      <c r="L14" s="8">
        <v>46232</v>
      </c>
      <c r="M14" s="4" t="str">
        <f t="shared" si="0"/>
        <v>수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4">
        <v>2</v>
      </c>
      <c r="F15" s="37"/>
      <c r="G15" s="4">
        <v>0.5</v>
      </c>
      <c r="H15" s="4">
        <v>1.1000000000000001</v>
      </c>
      <c r="I15" s="4">
        <v>4.569</v>
      </c>
      <c r="J15" s="4">
        <v>3.9E-2</v>
      </c>
      <c r="K15" s="4">
        <v>7</v>
      </c>
      <c r="L15" s="8">
        <v>46232</v>
      </c>
      <c r="M15" s="4" t="str">
        <f t="shared" si="0"/>
        <v>수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4">
        <v>2</v>
      </c>
      <c r="F16" s="37"/>
      <c r="G16" s="4">
        <v>0.6</v>
      </c>
      <c r="H16" s="4">
        <v>0.7</v>
      </c>
      <c r="I16" s="4">
        <v>4.6070000000000002</v>
      </c>
      <c r="J16" s="4">
        <v>3.9E-2</v>
      </c>
      <c r="K16" s="4">
        <v>8</v>
      </c>
      <c r="L16" s="8">
        <v>46232</v>
      </c>
      <c r="M16" s="4" t="str">
        <f t="shared" si="0"/>
        <v>수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4">
        <v>3.7</v>
      </c>
      <c r="F17" s="37"/>
      <c r="G17" s="4">
        <v>0.9</v>
      </c>
      <c r="H17" s="4">
        <v>8.5</v>
      </c>
      <c r="I17" s="4">
        <v>8.9960000000000004</v>
      </c>
      <c r="J17" s="4">
        <v>0.121</v>
      </c>
      <c r="K17" s="4">
        <v>15</v>
      </c>
      <c r="L17" s="8">
        <v>46232</v>
      </c>
      <c r="M17" s="4" t="str">
        <f t="shared" si="0"/>
        <v>수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4">
        <v>3.7</v>
      </c>
      <c r="F18" s="37"/>
      <c r="G18" s="4">
        <v>0.9</v>
      </c>
      <c r="H18" s="4">
        <v>7.9</v>
      </c>
      <c r="I18" s="4">
        <v>9.1460000000000008</v>
      </c>
      <c r="J18" s="4">
        <v>0.128</v>
      </c>
      <c r="K18" s="4">
        <v>18</v>
      </c>
      <c r="L18" s="8">
        <v>46232</v>
      </c>
      <c r="M18" s="4" t="str">
        <f t="shared" si="0"/>
        <v>수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4">
        <v>2.14</v>
      </c>
      <c r="F19" s="5">
        <v>2.7</v>
      </c>
      <c r="G19" s="4">
        <v>1</v>
      </c>
      <c r="H19" s="4">
        <v>2.2999999999999998</v>
      </c>
      <c r="I19" s="4">
        <v>6.82</v>
      </c>
      <c r="J19" s="4">
        <v>6.4000000000000001E-2</v>
      </c>
      <c r="K19" s="4">
        <v>10</v>
      </c>
      <c r="L19" s="8">
        <v>46232</v>
      </c>
      <c r="M19" s="4" t="str">
        <f t="shared" si="0"/>
        <v>수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4">
        <v>2.8</v>
      </c>
      <c r="F20" s="37"/>
      <c r="G20" s="4">
        <v>1.8</v>
      </c>
      <c r="H20" s="4">
        <v>2.2999999999999998</v>
      </c>
      <c r="I20" s="4">
        <v>3.1110000000000002</v>
      </c>
      <c r="J20" s="4">
        <v>6.6000000000000003E-2</v>
      </c>
      <c r="K20" s="4">
        <v>9</v>
      </c>
      <c r="L20" s="8">
        <v>46230</v>
      </c>
      <c r="M20" s="4" t="str">
        <f t="shared" si="0"/>
        <v>월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4">
        <v>3.3</v>
      </c>
      <c r="F21" s="37"/>
      <c r="G21" s="4">
        <v>1.8</v>
      </c>
      <c r="H21" s="4">
        <v>5.7</v>
      </c>
      <c r="I21" s="4">
        <v>3.3149999999999999</v>
      </c>
      <c r="J21" s="4">
        <v>0.11</v>
      </c>
      <c r="K21" s="4">
        <v>12</v>
      </c>
      <c r="L21" s="8">
        <v>46230</v>
      </c>
      <c r="M21" s="4" t="str">
        <f t="shared" si="0"/>
        <v>월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4">
        <v>4.2</v>
      </c>
      <c r="F22" s="37"/>
      <c r="G22" s="4">
        <v>2.4</v>
      </c>
      <c r="H22" s="4">
        <v>7.1</v>
      </c>
      <c r="I22" s="4">
        <v>4.5949999999999998</v>
      </c>
      <c r="J22" s="4">
        <v>0.10199999999999999</v>
      </c>
      <c r="K22" s="4">
        <v>13</v>
      </c>
      <c r="L22" s="8">
        <v>46230</v>
      </c>
      <c r="M22" s="4" t="str">
        <f t="shared" si="0"/>
        <v>월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4">
        <v>3.7</v>
      </c>
      <c r="F23" s="37"/>
      <c r="G23" s="4">
        <v>1.9</v>
      </c>
      <c r="H23" s="4">
        <v>6.5</v>
      </c>
      <c r="I23" s="4">
        <v>4.8220000000000001</v>
      </c>
      <c r="J23" s="4">
        <v>0.11899999999999999</v>
      </c>
      <c r="K23" s="4">
        <v>11</v>
      </c>
      <c r="L23" s="8">
        <v>46230</v>
      </c>
      <c r="M23" s="4" t="str">
        <f t="shared" si="0"/>
        <v>월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4">
        <v>2.9</v>
      </c>
      <c r="F24" s="5">
        <v>5.8</v>
      </c>
      <c r="G24" s="4">
        <v>0.9</v>
      </c>
      <c r="H24" s="4">
        <v>17.2</v>
      </c>
      <c r="I24" s="4">
        <v>4.13</v>
      </c>
      <c r="J24" s="4">
        <v>0.13800000000000001</v>
      </c>
      <c r="K24" s="4">
        <v>15</v>
      </c>
      <c r="L24" s="8">
        <v>46230</v>
      </c>
      <c r="M24" s="4" t="str">
        <f t="shared" si="0"/>
        <v>월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4">
        <v>3.5</v>
      </c>
      <c r="F25" s="37"/>
      <c r="G25" s="4">
        <v>2.2000000000000002</v>
      </c>
      <c r="H25" s="4">
        <v>8</v>
      </c>
      <c r="I25" s="4">
        <v>4.093</v>
      </c>
      <c r="J25" s="4">
        <v>0.10199999999999999</v>
      </c>
      <c r="K25" s="4">
        <v>9</v>
      </c>
      <c r="L25" s="8">
        <v>46230</v>
      </c>
      <c r="M25" s="4" t="str">
        <f t="shared" si="0"/>
        <v>월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">
        <v>3.9</v>
      </c>
      <c r="F26" s="37"/>
      <c r="G26" s="4">
        <v>4.3</v>
      </c>
      <c r="H26" s="4">
        <v>9.6999999999999993</v>
      </c>
      <c r="I26" s="4">
        <v>4.2519999999999998</v>
      </c>
      <c r="J26" s="4">
        <v>8.6999999999999994E-2</v>
      </c>
      <c r="K26" s="4">
        <v>24</v>
      </c>
      <c r="L26" s="8">
        <v>46217</v>
      </c>
      <c r="M26" s="4" t="str">
        <f t="shared" si="0"/>
        <v>화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4">
        <v>5</v>
      </c>
      <c r="F27" s="37"/>
      <c r="G27" s="4">
        <v>3.7</v>
      </c>
      <c r="H27" s="4">
        <v>7.2</v>
      </c>
      <c r="I27" s="4">
        <v>5.6189999999999998</v>
      </c>
      <c r="J27" s="4">
        <v>0.11799999999999999</v>
      </c>
      <c r="K27" s="4">
        <v>20</v>
      </c>
      <c r="L27" s="8">
        <v>46217</v>
      </c>
      <c r="M27" s="4" t="str">
        <f t="shared" si="0"/>
        <v>화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4">
        <v>4.2</v>
      </c>
      <c r="F28" s="37"/>
      <c r="G28" s="4">
        <v>3.4</v>
      </c>
      <c r="H28" s="4">
        <v>12</v>
      </c>
      <c r="I28" s="4">
        <v>4.93</v>
      </c>
      <c r="J28" s="4">
        <v>9.0999999999999998E-2</v>
      </c>
      <c r="K28" s="4">
        <v>16</v>
      </c>
      <c r="L28" s="8">
        <v>46217</v>
      </c>
      <c r="M28" s="4" t="str">
        <f t="shared" si="0"/>
        <v>화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4">
        <v>4.5999999999999996</v>
      </c>
      <c r="F29" s="37"/>
      <c r="G29" s="4">
        <v>4</v>
      </c>
      <c r="H29" s="4">
        <v>16.5</v>
      </c>
      <c r="I29" s="4">
        <v>5.4180000000000001</v>
      </c>
      <c r="J29" s="4">
        <v>0.106</v>
      </c>
      <c r="K29" s="4">
        <v>19</v>
      </c>
      <c r="L29" s="8">
        <v>46217</v>
      </c>
      <c r="M29" s="4" t="str">
        <f t="shared" si="0"/>
        <v>화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4">
        <v>4.09</v>
      </c>
      <c r="F30" s="37"/>
      <c r="G30" s="4">
        <v>2.9</v>
      </c>
      <c r="H30" s="4">
        <v>4.0999999999999996</v>
      </c>
      <c r="I30" s="4">
        <v>4.9870000000000001</v>
      </c>
      <c r="J30" s="4">
        <v>8.4000000000000005E-2</v>
      </c>
      <c r="K30" s="4">
        <v>15</v>
      </c>
      <c r="L30" s="8">
        <v>46232</v>
      </c>
      <c r="M30" s="4" t="str">
        <f t="shared" si="0"/>
        <v>수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4">
        <v>3.99</v>
      </c>
      <c r="F31" s="37"/>
      <c r="G31" s="4">
        <v>2.1</v>
      </c>
      <c r="H31" s="4">
        <v>5.4</v>
      </c>
      <c r="I31" s="4">
        <v>5.0389999999999997</v>
      </c>
      <c r="J31" s="4">
        <v>7.6999999999999999E-2</v>
      </c>
      <c r="K31" s="4">
        <v>17</v>
      </c>
      <c r="L31" s="8">
        <v>46232</v>
      </c>
      <c r="M31" s="4" t="str">
        <f t="shared" si="0"/>
        <v>수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4">
        <v>3.85</v>
      </c>
      <c r="F32" s="37"/>
      <c r="G32" s="4">
        <v>2.2000000000000002</v>
      </c>
      <c r="H32" s="4">
        <v>3.2</v>
      </c>
      <c r="I32" s="4">
        <v>4.9550000000000001</v>
      </c>
      <c r="J32" s="4">
        <v>7.3999999999999996E-2</v>
      </c>
      <c r="K32" s="4">
        <v>18</v>
      </c>
      <c r="L32" s="8">
        <v>46232</v>
      </c>
      <c r="M32" s="4" t="str">
        <f t="shared" si="0"/>
        <v>수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4">
        <v>4.4000000000000004</v>
      </c>
      <c r="F33" s="37"/>
      <c r="G33" s="4">
        <v>1.9</v>
      </c>
      <c r="H33" s="4">
        <v>4.0999999999999996</v>
      </c>
      <c r="I33" s="12">
        <v>4.032</v>
      </c>
      <c r="J33" s="4">
        <v>9.8000000000000004E-2</v>
      </c>
      <c r="K33" s="4">
        <v>18</v>
      </c>
      <c r="L33" s="8">
        <v>46230</v>
      </c>
      <c r="M33" s="4" t="str">
        <f t="shared" si="0"/>
        <v>월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4">
        <v>6.1</v>
      </c>
      <c r="F34" s="37"/>
      <c r="G34" s="4">
        <v>2.9</v>
      </c>
      <c r="H34" s="4">
        <v>9</v>
      </c>
      <c r="I34" s="4">
        <v>4.7370000000000001</v>
      </c>
      <c r="J34" s="4">
        <v>0.121</v>
      </c>
      <c r="K34" s="4">
        <v>34</v>
      </c>
      <c r="L34" s="8">
        <v>46230</v>
      </c>
      <c r="M34" s="4" t="str">
        <f t="shared" si="0"/>
        <v>월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4">
        <v>3.2</v>
      </c>
      <c r="F35" s="37"/>
      <c r="G35" s="4">
        <v>1.4</v>
      </c>
      <c r="H35" s="4">
        <v>5.6</v>
      </c>
      <c r="I35" s="4">
        <v>2.5870000000000002</v>
      </c>
      <c r="J35" s="4">
        <v>2.3E-2</v>
      </c>
      <c r="K35" s="4">
        <v>23</v>
      </c>
      <c r="L35" s="8">
        <v>46230</v>
      </c>
      <c r="M35" s="4" t="str">
        <f t="shared" si="0"/>
        <v>월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4">
        <v>3.8</v>
      </c>
      <c r="F36" s="37"/>
      <c r="G36" s="4">
        <v>1.2</v>
      </c>
      <c r="H36" s="4">
        <v>15.6</v>
      </c>
      <c r="I36" s="4">
        <v>3.1440000000000001</v>
      </c>
      <c r="J36" s="4">
        <v>5.8000000000000003E-2</v>
      </c>
      <c r="K36" s="4">
        <v>5</v>
      </c>
      <c r="L36" s="8">
        <v>46230</v>
      </c>
      <c r="M36" s="4" t="str">
        <f t="shared" si="0"/>
        <v>월</v>
      </c>
      <c r="N36" s="3" t="s">
        <v>107</v>
      </c>
    </row>
    <row r="37" spans="1:14" ht="20.25" customHeight="1" x14ac:dyDescent="0.3">
      <c r="A37" s="2">
        <v>35</v>
      </c>
      <c r="B37" s="104" t="s">
        <v>119</v>
      </c>
      <c r="C37" s="1" t="s">
        <v>98</v>
      </c>
      <c r="D37" s="33" t="s">
        <v>99</v>
      </c>
      <c r="E37" s="4">
        <v>3.4</v>
      </c>
      <c r="F37" s="37"/>
      <c r="G37" s="4">
        <v>1.2</v>
      </c>
      <c r="H37" s="4">
        <v>11.6</v>
      </c>
      <c r="I37" s="4">
        <v>5.6660000000000004</v>
      </c>
      <c r="J37" s="4">
        <v>5.5E-2</v>
      </c>
      <c r="K37" s="4">
        <v>8</v>
      </c>
      <c r="L37" s="8">
        <v>46230</v>
      </c>
      <c r="M37" s="4" t="str">
        <f t="shared" si="0"/>
        <v>월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4">
        <v>2.9</v>
      </c>
      <c r="F38" s="37"/>
      <c r="G38" s="4">
        <v>1.3</v>
      </c>
      <c r="H38" s="4">
        <v>4.5</v>
      </c>
      <c r="I38" s="4">
        <v>2.8940000000000001</v>
      </c>
      <c r="J38" s="4">
        <v>5.8000000000000003E-2</v>
      </c>
      <c r="K38" s="4">
        <v>8</v>
      </c>
      <c r="L38" s="8">
        <v>46230</v>
      </c>
      <c r="M38" s="4" t="str">
        <f t="shared" si="0"/>
        <v>월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4">
        <v>3.9</v>
      </c>
      <c r="F39" s="37"/>
      <c r="G39" s="4">
        <v>3.8</v>
      </c>
      <c r="H39" s="4">
        <v>10.3</v>
      </c>
      <c r="I39" s="4">
        <v>3.8170000000000002</v>
      </c>
      <c r="J39" s="4">
        <v>0.114</v>
      </c>
      <c r="K39" s="4">
        <v>13</v>
      </c>
      <c r="L39" s="8">
        <v>46217</v>
      </c>
      <c r="M39" s="4" t="str">
        <f t="shared" si="0"/>
        <v>화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6361-FC8C-43CC-AB5C-68ACAF97BCB3}">
  <sheetPr>
    <tabColor rgb="FF0070C0"/>
    <pageSetUpPr fitToPage="1"/>
  </sheetPr>
  <dimension ref="A1:N40"/>
  <sheetViews>
    <sheetView zoomScaleNormal="10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L8" sqref="L8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261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4">
        <v>2.9</v>
      </c>
      <c r="F3" s="5">
        <v>5.6</v>
      </c>
      <c r="G3" s="4">
        <v>2.2999999999999998</v>
      </c>
      <c r="H3" s="4">
        <v>9.6</v>
      </c>
      <c r="I3" s="4">
        <v>1.671</v>
      </c>
      <c r="J3" s="4">
        <v>8.3000000000000004E-2</v>
      </c>
      <c r="K3" s="4">
        <v>40</v>
      </c>
      <c r="L3" s="8">
        <v>46182</v>
      </c>
      <c r="M3" s="4" t="str">
        <f>TEXT(L3,"aaa")</f>
        <v>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4">
        <v>2.8</v>
      </c>
      <c r="F4" s="37"/>
      <c r="G4" s="4">
        <v>1.7</v>
      </c>
      <c r="H4" s="4">
        <v>13.4</v>
      </c>
      <c r="I4" s="4">
        <v>2.109</v>
      </c>
      <c r="J4" s="4">
        <v>4.9000000000000002E-2</v>
      </c>
      <c r="K4" s="4">
        <v>41</v>
      </c>
      <c r="L4" s="8">
        <v>46182</v>
      </c>
      <c r="M4" s="4" t="str">
        <f t="shared" ref="M4:M39" si="0">TEXT(L4,"aaa")</f>
        <v>화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4">
        <v>2.9</v>
      </c>
      <c r="F5" s="37"/>
      <c r="G5" s="4">
        <v>1.3</v>
      </c>
      <c r="H5" s="4">
        <v>12.2</v>
      </c>
      <c r="I5" s="4">
        <v>2.0249999999999999</v>
      </c>
      <c r="J5" s="4">
        <v>3.2000000000000001E-2</v>
      </c>
      <c r="K5" s="4">
        <v>41</v>
      </c>
      <c r="L5" s="8">
        <v>46182</v>
      </c>
      <c r="M5" s="4" t="str">
        <f t="shared" si="0"/>
        <v>화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4">
        <v>3.5</v>
      </c>
      <c r="F6" s="37"/>
      <c r="G6" s="4">
        <v>2.1</v>
      </c>
      <c r="H6" s="4">
        <v>11.8</v>
      </c>
      <c r="I6" s="4">
        <v>1.9950000000000001</v>
      </c>
      <c r="J6" s="4">
        <v>4.8000000000000001E-2</v>
      </c>
      <c r="K6" s="4">
        <v>48</v>
      </c>
      <c r="L6" s="8">
        <v>46182</v>
      </c>
      <c r="M6" s="4" t="str">
        <f t="shared" si="0"/>
        <v>화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4">
        <v>3.6</v>
      </c>
      <c r="F7" s="37"/>
      <c r="G7" s="4">
        <v>3.4</v>
      </c>
      <c r="H7" s="4">
        <v>9.4</v>
      </c>
      <c r="I7" s="4">
        <v>1.4890000000000001</v>
      </c>
      <c r="J7" s="4">
        <v>3.2000000000000001E-2</v>
      </c>
      <c r="K7" s="4">
        <v>44</v>
      </c>
      <c r="L7" s="8">
        <v>46182</v>
      </c>
      <c r="M7" s="4" t="str">
        <f t="shared" si="0"/>
        <v>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4">
        <v>3.6</v>
      </c>
      <c r="F8" s="5">
        <v>5.6</v>
      </c>
      <c r="G8" s="4">
        <v>3</v>
      </c>
      <c r="H8" s="4">
        <v>9.6</v>
      </c>
      <c r="I8" s="4">
        <v>1.6850000000000001</v>
      </c>
      <c r="J8" s="4">
        <v>8.3000000000000004E-2</v>
      </c>
      <c r="K8" s="4">
        <v>38</v>
      </c>
      <c r="L8" s="8">
        <v>46182</v>
      </c>
      <c r="M8" s="4" t="str">
        <f t="shared" si="0"/>
        <v>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4">
        <v>3.7</v>
      </c>
      <c r="F9" s="37"/>
      <c r="G9" s="4">
        <v>2.4</v>
      </c>
      <c r="H9" s="4">
        <v>10.4</v>
      </c>
      <c r="I9" s="4">
        <v>1.6779999999999999</v>
      </c>
      <c r="J9" s="4">
        <v>7.1999999999999995E-2</v>
      </c>
      <c r="K9" s="4">
        <v>40</v>
      </c>
      <c r="L9" s="8">
        <v>46182</v>
      </c>
      <c r="M9" s="4" t="str">
        <f t="shared" si="0"/>
        <v>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4">
        <v>3.5</v>
      </c>
      <c r="F10" s="37"/>
      <c r="G10" s="4">
        <v>3.5</v>
      </c>
      <c r="H10" s="4">
        <v>1.2</v>
      </c>
      <c r="I10" s="4">
        <v>3.8580000000000001</v>
      </c>
      <c r="J10" s="4">
        <v>3.4000000000000002E-2</v>
      </c>
      <c r="K10" s="4">
        <v>58</v>
      </c>
      <c r="L10" s="8">
        <v>46182</v>
      </c>
      <c r="M10" s="4" t="str">
        <f t="shared" si="0"/>
        <v>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4">
        <v>3.6</v>
      </c>
      <c r="F11" s="37"/>
      <c r="G11" s="4">
        <v>2</v>
      </c>
      <c r="H11" s="4">
        <v>0.8</v>
      </c>
      <c r="I11" s="4">
        <v>3.7330000000000001</v>
      </c>
      <c r="J11" s="4">
        <v>3.5000000000000003E-2</v>
      </c>
      <c r="K11" s="4">
        <v>44</v>
      </c>
      <c r="L11" s="8">
        <v>46182</v>
      </c>
      <c r="M11" s="4" t="str">
        <f t="shared" si="0"/>
        <v>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4">
        <v>1.9</v>
      </c>
      <c r="F12" s="5">
        <v>3.7</v>
      </c>
      <c r="G12" s="4">
        <v>1.1000000000000001</v>
      </c>
      <c r="H12" s="4">
        <v>5.3</v>
      </c>
      <c r="I12" s="4">
        <v>5.03</v>
      </c>
      <c r="J12" s="4">
        <v>8.1000000000000003E-2</v>
      </c>
      <c r="K12" s="4">
        <v>23</v>
      </c>
      <c r="L12" s="8">
        <v>46182</v>
      </c>
      <c r="M12" s="4" t="str">
        <f t="shared" si="0"/>
        <v>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4">
        <v>1.9</v>
      </c>
      <c r="F13" s="37"/>
      <c r="G13" s="4">
        <v>2.1</v>
      </c>
      <c r="H13" s="4">
        <v>10</v>
      </c>
      <c r="I13" s="4">
        <v>5.0679999999999996</v>
      </c>
      <c r="J13" s="4">
        <v>8.3000000000000004E-2</v>
      </c>
      <c r="K13" s="4">
        <v>26</v>
      </c>
      <c r="L13" s="8">
        <v>46182</v>
      </c>
      <c r="M13" s="4" t="str">
        <f t="shared" si="0"/>
        <v>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4">
        <v>2.1</v>
      </c>
      <c r="F14" s="37"/>
      <c r="G14" s="4">
        <v>1.1000000000000001</v>
      </c>
      <c r="H14" s="4">
        <v>5.0999999999999996</v>
      </c>
      <c r="I14" s="4">
        <v>4.4029999999999996</v>
      </c>
      <c r="J14" s="4">
        <v>0.04</v>
      </c>
      <c r="K14" s="4">
        <v>35</v>
      </c>
      <c r="L14" s="8">
        <v>46182</v>
      </c>
      <c r="M14" s="4" t="str">
        <f t="shared" si="0"/>
        <v>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4">
        <v>2.1</v>
      </c>
      <c r="F15" s="37"/>
      <c r="G15" s="4">
        <v>1.1000000000000001</v>
      </c>
      <c r="H15" s="4">
        <v>6.6</v>
      </c>
      <c r="I15" s="4">
        <v>4.1890000000000001</v>
      </c>
      <c r="J15" s="4">
        <v>3.5000000000000003E-2</v>
      </c>
      <c r="K15" s="4">
        <v>39</v>
      </c>
      <c r="L15" s="8">
        <v>46182</v>
      </c>
      <c r="M15" s="4" t="str">
        <f t="shared" si="0"/>
        <v>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4">
        <v>2.1</v>
      </c>
      <c r="F16" s="37"/>
      <c r="G16" s="4">
        <v>1.9</v>
      </c>
      <c r="H16" s="4">
        <v>5.7</v>
      </c>
      <c r="I16" s="4">
        <v>4.1900000000000004</v>
      </c>
      <c r="J16" s="4">
        <v>0.03</v>
      </c>
      <c r="K16" s="4">
        <v>32</v>
      </c>
      <c r="L16" s="8">
        <v>46182</v>
      </c>
      <c r="M16" s="4" t="str">
        <f t="shared" si="0"/>
        <v>화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4">
        <v>4.9000000000000004</v>
      </c>
      <c r="F17" s="37"/>
      <c r="G17" s="4">
        <v>4</v>
      </c>
      <c r="H17" s="4">
        <v>6.1</v>
      </c>
      <c r="I17" s="4">
        <v>17.018000000000001</v>
      </c>
      <c r="J17" s="4">
        <v>0.08</v>
      </c>
      <c r="K17" s="4">
        <v>76</v>
      </c>
      <c r="L17" s="8">
        <v>46182</v>
      </c>
      <c r="M17" s="4" t="str">
        <f t="shared" si="0"/>
        <v>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4">
        <v>4.7</v>
      </c>
      <c r="F18" s="37"/>
      <c r="G18" s="4">
        <v>5.0999999999999996</v>
      </c>
      <c r="H18" s="4">
        <v>22.8</v>
      </c>
      <c r="I18" s="4">
        <v>16.22</v>
      </c>
      <c r="J18" s="4">
        <v>8.5000000000000006E-2</v>
      </c>
      <c r="K18" s="4">
        <v>85</v>
      </c>
      <c r="L18" s="8">
        <v>46182</v>
      </c>
      <c r="M18" s="4" t="str">
        <f t="shared" si="0"/>
        <v>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4">
        <v>1.9</v>
      </c>
      <c r="F19" s="5">
        <v>3.8</v>
      </c>
      <c r="G19" s="4">
        <v>1.9</v>
      </c>
      <c r="H19" s="4">
        <v>17.899999999999999</v>
      </c>
      <c r="I19" s="4">
        <v>5.1289999999999996</v>
      </c>
      <c r="J19" s="4">
        <v>8.7999999999999995E-2</v>
      </c>
      <c r="K19" s="4">
        <v>28</v>
      </c>
      <c r="L19" s="8">
        <v>46182</v>
      </c>
      <c r="M19" s="4" t="str">
        <f t="shared" si="0"/>
        <v>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4">
        <v>3.4</v>
      </c>
      <c r="F20" s="37"/>
      <c r="G20" s="4">
        <v>3.6</v>
      </c>
      <c r="H20" s="4">
        <v>4.5999999999999996</v>
      </c>
      <c r="I20" s="4">
        <v>1.0129999999999999</v>
      </c>
      <c r="J20" s="4">
        <v>8.8999999999999996E-2</v>
      </c>
      <c r="K20" s="4">
        <v>48</v>
      </c>
      <c r="L20" s="8">
        <v>46185</v>
      </c>
      <c r="M20" s="4" t="str">
        <f t="shared" si="0"/>
        <v>금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4">
        <v>4</v>
      </c>
      <c r="F21" s="37"/>
      <c r="G21" s="4">
        <v>4.5</v>
      </c>
      <c r="H21" s="4">
        <v>10.6</v>
      </c>
      <c r="I21" s="4">
        <v>17.856000000000002</v>
      </c>
      <c r="J21" s="4">
        <v>0.21299999999999999</v>
      </c>
      <c r="K21" s="4">
        <v>42</v>
      </c>
      <c r="L21" s="8">
        <v>46185</v>
      </c>
      <c r="M21" s="4" t="str">
        <f t="shared" si="0"/>
        <v>금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4">
        <v>4.2</v>
      </c>
      <c r="F22" s="37"/>
      <c r="G22" s="4">
        <v>3.9</v>
      </c>
      <c r="H22" s="4">
        <v>13.2</v>
      </c>
      <c r="I22" s="4">
        <v>4.0529999999999999</v>
      </c>
      <c r="J22" s="4">
        <v>7.4999999999999997E-2</v>
      </c>
      <c r="K22" s="4">
        <v>44</v>
      </c>
      <c r="L22" s="8">
        <v>46185</v>
      </c>
      <c r="M22" s="4" t="str">
        <f t="shared" si="0"/>
        <v>금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4">
        <v>4.5</v>
      </c>
      <c r="F23" s="37"/>
      <c r="G23" s="4">
        <v>4.8</v>
      </c>
      <c r="H23" s="4">
        <v>12</v>
      </c>
      <c r="I23" s="4">
        <v>4.9160000000000004</v>
      </c>
      <c r="J23" s="4">
        <v>7.9000000000000001E-2</v>
      </c>
      <c r="K23" s="4">
        <v>47</v>
      </c>
      <c r="L23" s="8">
        <v>46185</v>
      </c>
      <c r="M23" s="4" t="str">
        <f t="shared" si="0"/>
        <v>금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4">
        <v>3.5</v>
      </c>
      <c r="F24" s="5">
        <v>6.8</v>
      </c>
      <c r="G24" s="4">
        <v>3.8</v>
      </c>
      <c r="H24" s="4">
        <v>15.8</v>
      </c>
      <c r="I24" s="4">
        <v>1.5489999999999999</v>
      </c>
      <c r="J24" s="4">
        <v>0.01</v>
      </c>
      <c r="K24" s="4">
        <v>48</v>
      </c>
      <c r="L24" s="8">
        <v>46185</v>
      </c>
      <c r="M24" s="4" t="str">
        <f t="shared" si="0"/>
        <v>금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4">
        <v>3.7</v>
      </c>
      <c r="F25" s="37"/>
      <c r="G25" s="4">
        <v>3.4</v>
      </c>
      <c r="H25" s="4">
        <v>18.2</v>
      </c>
      <c r="I25" s="4">
        <v>3.1160000000000001</v>
      </c>
      <c r="J25" s="4">
        <v>3.9E-2</v>
      </c>
      <c r="K25" s="4">
        <v>37</v>
      </c>
      <c r="L25" s="8">
        <v>46185</v>
      </c>
      <c r="M25" s="4" t="str">
        <f t="shared" si="0"/>
        <v>금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">
        <v>3.3</v>
      </c>
      <c r="F26" s="37"/>
      <c r="G26" s="4">
        <v>4.4000000000000004</v>
      </c>
      <c r="H26" s="4">
        <v>15.8</v>
      </c>
      <c r="I26" s="4">
        <v>4.766</v>
      </c>
      <c r="J26" s="4">
        <v>7.5999999999999998E-2</v>
      </c>
      <c r="K26" s="4">
        <v>35</v>
      </c>
      <c r="L26" s="8">
        <v>46183</v>
      </c>
      <c r="M26" s="4" t="str">
        <f t="shared" si="0"/>
        <v>수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4">
        <v>3.9</v>
      </c>
      <c r="F27" s="37"/>
      <c r="G27" s="4">
        <v>4.5</v>
      </c>
      <c r="H27" s="4">
        <v>14.4</v>
      </c>
      <c r="I27" s="4">
        <v>6.28</v>
      </c>
      <c r="J27" s="4">
        <v>6.2E-2</v>
      </c>
      <c r="K27" s="4">
        <v>55</v>
      </c>
      <c r="L27" s="8">
        <v>46183</v>
      </c>
      <c r="M27" s="4" t="str">
        <f t="shared" si="0"/>
        <v>수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4">
        <v>4.2</v>
      </c>
      <c r="F28" s="37"/>
      <c r="G28" s="4">
        <v>5.7</v>
      </c>
      <c r="H28" s="4">
        <v>35.799999999999997</v>
      </c>
      <c r="I28" s="4">
        <v>6.38</v>
      </c>
      <c r="J28" s="4">
        <v>8.5000000000000006E-2</v>
      </c>
      <c r="K28" s="4">
        <v>61</v>
      </c>
      <c r="L28" s="8">
        <v>46183</v>
      </c>
      <c r="M28" s="4" t="str">
        <f t="shared" si="0"/>
        <v>수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4">
        <v>5.0999999999999996</v>
      </c>
      <c r="F29" s="37"/>
      <c r="G29" s="4">
        <v>4.5999999999999996</v>
      </c>
      <c r="H29" s="4">
        <v>15.2</v>
      </c>
      <c r="I29" s="4">
        <v>6.8419999999999996</v>
      </c>
      <c r="J29" s="4">
        <v>0.10199999999999999</v>
      </c>
      <c r="K29" s="4">
        <v>91</v>
      </c>
      <c r="L29" s="8">
        <v>46183</v>
      </c>
      <c r="M29" s="4" t="str">
        <f t="shared" si="0"/>
        <v>수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4">
        <v>4.9000000000000004</v>
      </c>
      <c r="F30" s="37"/>
      <c r="G30" s="4">
        <v>1.2</v>
      </c>
      <c r="H30" s="4">
        <v>14.2</v>
      </c>
      <c r="I30" s="4">
        <v>7.4729999999999999</v>
      </c>
      <c r="J30" s="4">
        <v>8.8999999999999996E-2</v>
      </c>
      <c r="K30" s="4">
        <v>65</v>
      </c>
      <c r="L30" s="8">
        <v>46182</v>
      </c>
      <c r="M30" s="4" t="str">
        <f t="shared" si="0"/>
        <v>화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4">
        <v>4.8</v>
      </c>
      <c r="F31" s="37"/>
      <c r="G31" s="4">
        <v>1.8</v>
      </c>
      <c r="H31" s="4">
        <v>15.4</v>
      </c>
      <c r="I31" s="4">
        <v>7.0170000000000003</v>
      </c>
      <c r="J31" s="4">
        <v>9.0999999999999998E-2</v>
      </c>
      <c r="K31" s="4">
        <v>64</v>
      </c>
      <c r="L31" s="8">
        <v>46182</v>
      </c>
      <c r="M31" s="4" t="str">
        <f t="shared" si="0"/>
        <v>화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4">
        <v>4.4000000000000004</v>
      </c>
      <c r="F32" s="37"/>
      <c r="G32" s="4">
        <v>1.5</v>
      </c>
      <c r="H32" s="4">
        <v>14.6</v>
      </c>
      <c r="I32" s="4">
        <v>5.7549999999999999</v>
      </c>
      <c r="J32" s="4">
        <v>6.4000000000000001E-2</v>
      </c>
      <c r="K32" s="4">
        <v>64</v>
      </c>
      <c r="L32" s="8">
        <v>46182</v>
      </c>
      <c r="M32" s="4" t="str">
        <f t="shared" si="0"/>
        <v>화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4">
        <v>4.5999999999999996</v>
      </c>
      <c r="F33" s="37"/>
      <c r="G33" s="4">
        <v>4.7</v>
      </c>
      <c r="H33" s="4">
        <v>9.8000000000000007</v>
      </c>
      <c r="I33" s="12">
        <v>49.401000000000003</v>
      </c>
      <c r="J33" s="4">
        <v>3.2000000000000001E-2</v>
      </c>
      <c r="K33" s="4">
        <v>39</v>
      </c>
      <c r="L33" s="8">
        <v>46185</v>
      </c>
      <c r="M33" s="4" t="str">
        <f t="shared" si="0"/>
        <v>금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4">
        <v>5</v>
      </c>
      <c r="F34" s="37"/>
      <c r="G34" s="4">
        <v>5.2</v>
      </c>
      <c r="H34" s="4">
        <v>11.6</v>
      </c>
      <c r="I34" s="4">
        <v>2.3780000000000001</v>
      </c>
      <c r="J34" s="4">
        <v>7.0999999999999994E-2</v>
      </c>
      <c r="K34" s="4">
        <v>41</v>
      </c>
      <c r="L34" s="8">
        <v>46185</v>
      </c>
      <c r="M34" s="4" t="str">
        <f t="shared" si="0"/>
        <v>금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4">
        <v>2</v>
      </c>
      <c r="F35" s="37"/>
      <c r="G35" s="4">
        <v>2</v>
      </c>
      <c r="H35" s="4">
        <v>6.8</v>
      </c>
      <c r="I35" s="4">
        <v>1.385</v>
      </c>
      <c r="J35" s="4">
        <v>2.7E-2</v>
      </c>
      <c r="K35" s="4">
        <v>26</v>
      </c>
      <c r="L35" s="8">
        <v>46185</v>
      </c>
      <c r="M35" s="4" t="str">
        <f t="shared" si="0"/>
        <v>금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4">
        <v>2</v>
      </c>
      <c r="F36" s="37"/>
      <c r="G36" s="4">
        <v>1.4</v>
      </c>
      <c r="H36" s="4">
        <v>2.9</v>
      </c>
      <c r="I36" s="4">
        <v>1.0349999999999999</v>
      </c>
      <c r="J36" s="4">
        <v>2.5000000000000001E-2</v>
      </c>
      <c r="K36" s="4">
        <v>38</v>
      </c>
      <c r="L36" s="8">
        <v>46185</v>
      </c>
      <c r="M36" s="4" t="str">
        <f t="shared" si="0"/>
        <v>금</v>
      </c>
      <c r="N36" s="3" t="s">
        <v>107</v>
      </c>
    </row>
    <row r="37" spans="1:14" ht="20.25" customHeight="1" x14ac:dyDescent="0.3">
      <c r="A37" s="2">
        <v>35</v>
      </c>
      <c r="B37" s="102" t="s">
        <v>119</v>
      </c>
      <c r="C37" s="1" t="s">
        <v>98</v>
      </c>
      <c r="D37" s="33" t="s">
        <v>99</v>
      </c>
      <c r="E37" s="4">
        <v>3.4</v>
      </c>
      <c r="F37" s="37"/>
      <c r="G37" s="4">
        <v>3.5</v>
      </c>
      <c r="H37" s="4">
        <v>14.4</v>
      </c>
      <c r="I37" s="4">
        <v>10.134</v>
      </c>
      <c r="J37" s="4">
        <v>7.6999999999999999E-2</v>
      </c>
      <c r="K37" s="4">
        <v>33</v>
      </c>
      <c r="L37" s="8">
        <v>46185</v>
      </c>
      <c r="M37" s="4" t="str">
        <f t="shared" si="0"/>
        <v>금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4">
        <v>3.6</v>
      </c>
      <c r="F38" s="37"/>
      <c r="G38" s="4">
        <v>2.2000000000000002</v>
      </c>
      <c r="H38" s="4">
        <v>9.3000000000000007</v>
      </c>
      <c r="I38" s="4">
        <v>3.0449999999999999</v>
      </c>
      <c r="J38" s="4">
        <v>0.05</v>
      </c>
      <c r="K38" s="4">
        <v>36</v>
      </c>
      <c r="L38" s="8">
        <v>46185</v>
      </c>
      <c r="M38" s="4" t="str">
        <f t="shared" si="0"/>
        <v>금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4">
        <v>5.3</v>
      </c>
      <c r="F39" s="37"/>
      <c r="G39" s="4">
        <v>5.6</v>
      </c>
      <c r="H39" s="4">
        <v>12.8</v>
      </c>
      <c r="I39" s="4">
        <v>0.67800000000000005</v>
      </c>
      <c r="J39" s="4">
        <v>6.9000000000000006E-2</v>
      </c>
      <c r="K39" s="4">
        <v>29</v>
      </c>
      <c r="L39" s="8">
        <v>46183</v>
      </c>
      <c r="M39" s="4" t="str">
        <f t="shared" si="0"/>
        <v>수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23B9-8B8D-4E43-A29F-B8920747FFCE}">
  <sheetPr>
    <tabColor rgb="FF0070C0"/>
    <pageSetUpPr fitToPage="1"/>
  </sheetPr>
  <dimension ref="A1:N40"/>
  <sheetViews>
    <sheetView zoomScaleNormal="100"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E3" sqref="E3:K39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260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5">
        <v>1.9</v>
      </c>
      <c r="F3" s="5">
        <v>3.7</v>
      </c>
      <c r="G3" s="5">
        <v>0.7</v>
      </c>
      <c r="H3" s="5">
        <v>17.5</v>
      </c>
      <c r="I3" s="5">
        <v>5.1790000000000003</v>
      </c>
      <c r="J3" s="5">
        <v>0.109</v>
      </c>
      <c r="K3" s="5">
        <v>14</v>
      </c>
      <c r="L3" s="8">
        <v>46161</v>
      </c>
      <c r="M3" s="4" t="str">
        <f>TEXT(L3,"aaa")</f>
        <v>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5">
        <v>2.9</v>
      </c>
      <c r="F4" s="37"/>
      <c r="G4" s="5">
        <v>2.2999999999999998</v>
      </c>
      <c r="H4" s="5">
        <v>10.5</v>
      </c>
      <c r="I4" s="5">
        <v>2.5920000000000001</v>
      </c>
      <c r="J4" s="5">
        <v>3.1E-2</v>
      </c>
      <c r="K4" s="5">
        <v>19</v>
      </c>
      <c r="L4" s="8">
        <v>46148</v>
      </c>
      <c r="M4" s="4" t="str">
        <f t="shared" ref="M4:M39" si="0">TEXT(L4,"aaa")</f>
        <v>수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5">
        <v>3</v>
      </c>
      <c r="F5" s="37"/>
      <c r="G5" s="5">
        <v>2.4</v>
      </c>
      <c r="H5" s="5">
        <v>19.100000000000001</v>
      </c>
      <c r="I5" s="5">
        <v>3.0070000000000001</v>
      </c>
      <c r="J5" s="5">
        <v>3.6999999999999998E-2</v>
      </c>
      <c r="K5" s="5">
        <v>22</v>
      </c>
      <c r="L5" s="8">
        <v>46148</v>
      </c>
      <c r="M5" s="4" t="str">
        <f t="shared" si="0"/>
        <v>수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5">
        <v>3.2</v>
      </c>
      <c r="F6" s="37"/>
      <c r="G6" s="5">
        <v>3.3</v>
      </c>
      <c r="H6" s="5">
        <v>12.9</v>
      </c>
      <c r="I6" s="5">
        <v>2.9169999999999998</v>
      </c>
      <c r="J6" s="5">
        <v>4.1000000000000002E-2</v>
      </c>
      <c r="K6" s="5">
        <v>24</v>
      </c>
      <c r="L6" s="8">
        <v>46148</v>
      </c>
      <c r="M6" s="4" t="str">
        <f t="shared" si="0"/>
        <v>수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5">
        <v>3.5</v>
      </c>
      <c r="F7" s="37"/>
      <c r="G7" s="5">
        <v>1.2</v>
      </c>
      <c r="H7" s="5">
        <v>12.6</v>
      </c>
      <c r="I7" s="5">
        <v>1.93</v>
      </c>
      <c r="J7" s="5">
        <v>0.13800000000000001</v>
      </c>
      <c r="K7" s="5">
        <v>44</v>
      </c>
      <c r="L7" s="8">
        <v>46161</v>
      </c>
      <c r="M7" s="4" t="str">
        <f t="shared" si="0"/>
        <v>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5">
        <v>3.8</v>
      </c>
      <c r="F8" s="5">
        <v>7.3</v>
      </c>
      <c r="G8" s="5">
        <v>3</v>
      </c>
      <c r="H8" s="5">
        <v>16</v>
      </c>
      <c r="I8" s="5">
        <v>1.8069999999999999</v>
      </c>
      <c r="J8" s="5">
        <v>0.13900000000000001</v>
      </c>
      <c r="K8" s="5">
        <v>47</v>
      </c>
      <c r="L8" s="8">
        <v>46161</v>
      </c>
      <c r="M8" s="4" t="str">
        <f t="shared" si="0"/>
        <v>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5">
        <v>4</v>
      </c>
      <c r="F9" s="37"/>
      <c r="G9" s="5">
        <v>2.8</v>
      </c>
      <c r="H9" s="5">
        <v>13</v>
      </c>
      <c r="I9" s="5">
        <v>1.9410000000000001</v>
      </c>
      <c r="J9" s="5">
        <v>0.15</v>
      </c>
      <c r="K9" s="5">
        <v>42</v>
      </c>
      <c r="L9" s="8">
        <v>46161</v>
      </c>
      <c r="M9" s="4" t="str">
        <f t="shared" si="0"/>
        <v>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5">
        <v>3.3</v>
      </c>
      <c r="F10" s="37"/>
      <c r="G10" s="5">
        <v>2.2000000000000002</v>
      </c>
      <c r="H10" s="5">
        <v>1.8</v>
      </c>
      <c r="I10" s="5">
        <v>4.9370000000000003</v>
      </c>
      <c r="J10" s="5">
        <v>0.04</v>
      </c>
      <c r="K10" s="5">
        <v>53</v>
      </c>
      <c r="L10" s="8">
        <v>46161</v>
      </c>
      <c r="M10" s="4" t="str">
        <f t="shared" si="0"/>
        <v>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5">
        <v>3.3</v>
      </c>
      <c r="F11" s="37"/>
      <c r="G11" s="5">
        <v>1.2</v>
      </c>
      <c r="H11" s="5">
        <v>2.5</v>
      </c>
      <c r="I11" s="5">
        <v>4.9960000000000004</v>
      </c>
      <c r="J11" s="5">
        <v>0.04</v>
      </c>
      <c r="K11" s="5">
        <v>42</v>
      </c>
      <c r="L11" s="8">
        <v>46161</v>
      </c>
      <c r="M11" s="4" t="str">
        <f t="shared" si="0"/>
        <v>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5">
        <v>2.2999999999999998</v>
      </c>
      <c r="F12" s="5">
        <v>4.3</v>
      </c>
      <c r="G12" s="5">
        <v>2.9</v>
      </c>
      <c r="H12" s="5">
        <v>5.9</v>
      </c>
      <c r="I12" s="5">
        <v>3.931</v>
      </c>
      <c r="J12" s="5">
        <v>3.7999999999999999E-2</v>
      </c>
      <c r="K12" s="5">
        <v>31</v>
      </c>
      <c r="L12" s="8">
        <v>46161</v>
      </c>
      <c r="M12" s="4" t="str">
        <f t="shared" si="0"/>
        <v>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5">
        <v>2.2000000000000002</v>
      </c>
      <c r="F13" s="37"/>
      <c r="G13" s="5">
        <v>0.8</v>
      </c>
      <c r="H13" s="5">
        <v>5.3</v>
      </c>
      <c r="I13" s="5">
        <v>4.1399999999999997</v>
      </c>
      <c r="J13" s="5">
        <v>4.1000000000000002E-2</v>
      </c>
      <c r="K13" s="5">
        <v>24</v>
      </c>
      <c r="L13" s="8">
        <v>46161</v>
      </c>
      <c r="M13" s="4" t="str">
        <f t="shared" si="0"/>
        <v>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5">
        <v>2.1</v>
      </c>
      <c r="F14" s="37"/>
      <c r="G14" s="5">
        <v>1.4</v>
      </c>
      <c r="H14" s="5">
        <v>6.4</v>
      </c>
      <c r="I14" s="5">
        <v>4.0309999999999997</v>
      </c>
      <c r="J14" s="5">
        <v>0.04</v>
      </c>
      <c r="K14" s="5">
        <v>33</v>
      </c>
      <c r="L14" s="8">
        <v>46161</v>
      </c>
      <c r="M14" s="4" t="str">
        <f t="shared" si="0"/>
        <v>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5">
        <v>2.2999999999999998</v>
      </c>
      <c r="F15" s="37"/>
      <c r="G15" s="5">
        <v>0.9</v>
      </c>
      <c r="H15" s="5">
        <v>7.5</v>
      </c>
      <c r="I15" s="5">
        <v>3.9329999999999998</v>
      </c>
      <c r="J15" s="5">
        <v>0.04</v>
      </c>
      <c r="K15" s="5">
        <v>30</v>
      </c>
      <c r="L15" s="8">
        <v>46161</v>
      </c>
      <c r="M15" s="4" t="str">
        <f t="shared" si="0"/>
        <v>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5">
        <v>1.9</v>
      </c>
      <c r="F16" s="37"/>
      <c r="G16" s="5">
        <v>0.5</v>
      </c>
      <c r="H16" s="5">
        <v>14.3</v>
      </c>
      <c r="I16" s="5">
        <v>5.0430000000000001</v>
      </c>
      <c r="J16" s="5">
        <v>0.10199999999999999</v>
      </c>
      <c r="K16" s="5">
        <v>18</v>
      </c>
      <c r="L16" s="8">
        <v>46161</v>
      </c>
      <c r="M16" s="4" t="str">
        <f t="shared" si="0"/>
        <v>화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5">
        <v>4.9000000000000004</v>
      </c>
      <c r="F17" s="37"/>
      <c r="G17" s="5">
        <v>5.0999999999999996</v>
      </c>
      <c r="H17" s="5">
        <v>7.9</v>
      </c>
      <c r="I17" s="5">
        <v>25.6</v>
      </c>
      <c r="J17" s="5">
        <v>5.7000000000000002E-2</v>
      </c>
      <c r="K17" s="5">
        <v>80</v>
      </c>
      <c r="L17" s="8">
        <v>46161</v>
      </c>
      <c r="M17" s="4" t="str">
        <f t="shared" si="0"/>
        <v>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5">
        <v>5.2</v>
      </c>
      <c r="F18" s="37"/>
      <c r="G18" s="5">
        <v>5.8</v>
      </c>
      <c r="H18" s="5">
        <v>6.7</v>
      </c>
      <c r="I18" s="5">
        <v>26.038</v>
      </c>
      <c r="J18" s="5">
        <v>0.06</v>
      </c>
      <c r="K18" s="5">
        <v>82</v>
      </c>
      <c r="L18" s="8">
        <v>46161</v>
      </c>
      <c r="M18" s="4" t="str">
        <f t="shared" si="0"/>
        <v>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5">
        <v>1.8</v>
      </c>
      <c r="F19" s="5">
        <v>3.5</v>
      </c>
      <c r="G19" s="5">
        <v>0.6</v>
      </c>
      <c r="H19" s="5">
        <v>7.9</v>
      </c>
      <c r="I19" s="5">
        <v>4.9329999999999998</v>
      </c>
      <c r="J19" s="5">
        <v>9.8000000000000004E-2</v>
      </c>
      <c r="K19" s="5">
        <v>13</v>
      </c>
      <c r="L19" s="8">
        <v>46161</v>
      </c>
      <c r="M19" s="4" t="str">
        <f t="shared" si="0"/>
        <v>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5">
        <v>4</v>
      </c>
      <c r="F20" s="37"/>
      <c r="G20" s="5">
        <v>3.6</v>
      </c>
      <c r="H20" s="5">
        <v>20.2</v>
      </c>
      <c r="I20" s="5">
        <v>2.911</v>
      </c>
      <c r="J20" s="5">
        <v>0.11</v>
      </c>
      <c r="K20" s="5">
        <v>33</v>
      </c>
      <c r="L20" s="8">
        <v>46156</v>
      </c>
      <c r="M20" s="4" t="str">
        <f t="shared" si="0"/>
        <v>목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5">
        <v>4.5999999999999996</v>
      </c>
      <c r="F21" s="37"/>
      <c r="G21" s="5">
        <v>4.8</v>
      </c>
      <c r="H21" s="5">
        <v>12.2</v>
      </c>
      <c r="I21" s="5">
        <v>21.18</v>
      </c>
      <c r="J21" s="5">
        <v>0.2</v>
      </c>
      <c r="K21" s="5">
        <v>30</v>
      </c>
      <c r="L21" s="8">
        <v>46156</v>
      </c>
      <c r="M21" s="4" t="str">
        <f t="shared" si="0"/>
        <v>목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5">
        <v>6.8</v>
      </c>
      <c r="F22" s="37"/>
      <c r="G22" s="5">
        <v>8</v>
      </c>
      <c r="H22" s="5">
        <v>18.8</v>
      </c>
      <c r="I22" s="5">
        <v>6.2779999999999996</v>
      </c>
      <c r="J22" s="5">
        <v>0.106</v>
      </c>
      <c r="K22" s="5">
        <v>34</v>
      </c>
      <c r="L22" s="8">
        <v>46156</v>
      </c>
      <c r="M22" s="4" t="str">
        <f t="shared" si="0"/>
        <v>목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5">
        <v>5.9</v>
      </c>
      <c r="F23" s="37"/>
      <c r="G23" s="5">
        <v>6</v>
      </c>
      <c r="H23" s="5">
        <v>38</v>
      </c>
      <c r="I23" s="5">
        <v>6.173</v>
      </c>
      <c r="J23" s="5">
        <v>2.1000000000000001E-2</v>
      </c>
      <c r="K23" s="5">
        <v>164</v>
      </c>
      <c r="L23" s="8">
        <v>46156</v>
      </c>
      <c r="M23" s="4" t="str">
        <f t="shared" si="0"/>
        <v>목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5">
        <v>6.7</v>
      </c>
      <c r="F24" s="5">
        <v>10.1</v>
      </c>
      <c r="G24" s="5">
        <v>4.7</v>
      </c>
      <c r="H24" s="5">
        <v>14.6</v>
      </c>
      <c r="I24" s="5">
        <v>4.8899999999999997</v>
      </c>
      <c r="J24" s="5">
        <v>7.2999999999999995E-2</v>
      </c>
      <c r="K24" s="5">
        <v>41</v>
      </c>
      <c r="L24" s="8">
        <v>46156</v>
      </c>
      <c r="M24" s="4" t="str">
        <f t="shared" si="0"/>
        <v>목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5">
        <v>6.1</v>
      </c>
      <c r="F25" s="37"/>
      <c r="G25" s="5">
        <v>6.2</v>
      </c>
      <c r="H25" s="5">
        <v>11.2</v>
      </c>
      <c r="I25" s="5">
        <v>5.2889999999999997</v>
      </c>
      <c r="J25" s="5">
        <v>0.06</v>
      </c>
      <c r="K25" s="5">
        <v>33</v>
      </c>
      <c r="L25" s="8">
        <v>46156</v>
      </c>
      <c r="M25" s="4" t="str">
        <f t="shared" si="0"/>
        <v>목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5">
        <v>5.5</v>
      </c>
      <c r="F26" s="37"/>
      <c r="G26" s="5">
        <v>6.1</v>
      </c>
      <c r="H26" s="5">
        <v>28.8</v>
      </c>
      <c r="I26" s="5">
        <v>4.8979999999999997</v>
      </c>
      <c r="J26" s="5">
        <v>0.128</v>
      </c>
      <c r="K26" s="5">
        <v>52</v>
      </c>
      <c r="L26" s="8">
        <v>46149</v>
      </c>
      <c r="M26" s="4" t="str">
        <f t="shared" si="0"/>
        <v>목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5">
        <v>6.4</v>
      </c>
      <c r="F27" s="37"/>
      <c r="G27" s="5">
        <v>2.7</v>
      </c>
      <c r="H27" s="5">
        <v>22.8</v>
      </c>
      <c r="I27" s="5">
        <v>8.2680000000000007</v>
      </c>
      <c r="J27" s="5">
        <v>0.19400000000000001</v>
      </c>
      <c r="K27" s="5">
        <v>44</v>
      </c>
      <c r="L27" s="8">
        <v>46149</v>
      </c>
      <c r="M27" s="4" t="str">
        <f t="shared" si="0"/>
        <v>목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5">
        <v>7.1</v>
      </c>
      <c r="F28" s="37"/>
      <c r="G28" s="5">
        <v>3.9</v>
      </c>
      <c r="H28" s="5">
        <v>5.8</v>
      </c>
      <c r="I28" s="5">
        <v>6.6440000000000001</v>
      </c>
      <c r="J28" s="5">
        <v>0.21299999999999999</v>
      </c>
      <c r="K28" s="5">
        <v>122</v>
      </c>
      <c r="L28" s="8">
        <v>46149</v>
      </c>
      <c r="M28" s="4" t="str">
        <f t="shared" si="0"/>
        <v>목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5">
        <v>6.1</v>
      </c>
      <c r="F29" s="37"/>
      <c r="G29" s="5">
        <v>4.7</v>
      </c>
      <c r="H29" s="5">
        <v>18</v>
      </c>
      <c r="I29" s="5">
        <v>7.2140000000000004</v>
      </c>
      <c r="J29" s="5">
        <v>0.184</v>
      </c>
      <c r="K29" s="5">
        <v>59</v>
      </c>
      <c r="L29" s="8">
        <v>46149</v>
      </c>
      <c r="M29" s="4" t="str">
        <f t="shared" si="0"/>
        <v>목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5">
        <v>5.9</v>
      </c>
      <c r="F30" s="37"/>
      <c r="G30" s="5">
        <v>6</v>
      </c>
      <c r="H30" s="5">
        <v>16.8</v>
      </c>
      <c r="I30" s="5">
        <v>8.3870000000000005</v>
      </c>
      <c r="J30" s="5">
        <v>0.107</v>
      </c>
      <c r="K30" s="5">
        <v>59</v>
      </c>
      <c r="L30" s="8">
        <v>46148</v>
      </c>
      <c r="M30" s="4" t="str">
        <f t="shared" si="0"/>
        <v>수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5">
        <v>5.6</v>
      </c>
      <c r="F31" s="37"/>
      <c r="G31" s="5">
        <v>4.8</v>
      </c>
      <c r="H31" s="5">
        <v>15.8</v>
      </c>
      <c r="I31" s="5">
        <v>7.6879999999999997</v>
      </c>
      <c r="J31" s="5">
        <v>9.9000000000000005E-2</v>
      </c>
      <c r="K31" s="5">
        <v>37</v>
      </c>
      <c r="L31" s="8">
        <v>46148</v>
      </c>
      <c r="M31" s="4" t="str">
        <f t="shared" si="0"/>
        <v>수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5">
        <v>5.4</v>
      </c>
      <c r="F32" s="37"/>
      <c r="G32" s="5">
        <v>4.4000000000000004</v>
      </c>
      <c r="H32" s="5">
        <v>13</v>
      </c>
      <c r="I32" s="5">
        <v>6.6820000000000004</v>
      </c>
      <c r="J32" s="5">
        <v>7.6999999999999999E-2</v>
      </c>
      <c r="K32" s="5">
        <v>37</v>
      </c>
      <c r="L32" s="8">
        <v>46148</v>
      </c>
      <c r="M32" s="4" t="str">
        <f t="shared" si="0"/>
        <v>수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5">
        <v>11</v>
      </c>
      <c r="F33" s="37"/>
      <c r="G33" s="5">
        <v>6.1</v>
      </c>
      <c r="H33" s="5">
        <v>10.199999999999999</v>
      </c>
      <c r="I33" s="9">
        <v>112.056</v>
      </c>
      <c r="J33" s="5">
        <v>0.124</v>
      </c>
      <c r="K33" s="5">
        <v>47</v>
      </c>
      <c r="L33" s="8">
        <v>46156</v>
      </c>
      <c r="M33" s="4" t="str">
        <f t="shared" si="0"/>
        <v>목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5">
        <v>13</v>
      </c>
      <c r="F34" s="37"/>
      <c r="G34" s="5">
        <v>8.1</v>
      </c>
      <c r="H34" s="5">
        <v>31.6</v>
      </c>
      <c r="I34" s="5">
        <v>6.2549999999999999</v>
      </c>
      <c r="J34" s="5">
        <v>8.5999999999999993E-2</v>
      </c>
      <c r="K34" s="5">
        <v>32</v>
      </c>
      <c r="L34" s="8">
        <v>46156</v>
      </c>
      <c r="M34" s="4" t="str">
        <f t="shared" si="0"/>
        <v>목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5">
        <v>2.7</v>
      </c>
      <c r="F35" s="37"/>
      <c r="G35" s="5">
        <v>2.8</v>
      </c>
      <c r="H35" s="5">
        <v>2.4</v>
      </c>
      <c r="I35" s="5">
        <v>1.833</v>
      </c>
      <c r="J35" s="5">
        <v>4.9000000000000002E-2</v>
      </c>
      <c r="K35" s="5">
        <v>23</v>
      </c>
      <c r="L35" s="8">
        <v>46156</v>
      </c>
      <c r="M35" s="4" t="str">
        <f t="shared" si="0"/>
        <v>목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5">
        <v>5.8</v>
      </c>
      <c r="F36" s="37"/>
      <c r="G36" s="5">
        <v>5.5</v>
      </c>
      <c r="H36" s="5">
        <v>7</v>
      </c>
      <c r="I36" s="5">
        <v>2.286</v>
      </c>
      <c r="J36" s="5">
        <v>3.4000000000000002E-2</v>
      </c>
      <c r="K36" s="5">
        <v>29</v>
      </c>
      <c r="L36" s="8">
        <v>46156</v>
      </c>
      <c r="M36" s="4" t="str">
        <f t="shared" si="0"/>
        <v>목</v>
      </c>
      <c r="N36" s="3" t="s">
        <v>107</v>
      </c>
    </row>
    <row r="37" spans="1:14" ht="20.25" customHeight="1" x14ac:dyDescent="0.3">
      <c r="A37" s="2">
        <v>35</v>
      </c>
      <c r="B37" s="101" t="s">
        <v>119</v>
      </c>
      <c r="C37" s="1" t="s">
        <v>98</v>
      </c>
      <c r="D37" s="33" t="s">
        <v>99</v>
      </c>
      <c r="E37" s="5">
        <v>4.8</v>
      </c>
      <c r="F37" s="37"/>
      <c r="G37" s="5">
        <v>5.2</v>
      </c>
      <c r="H37" s="5">
        <v>24.8</v>
      </c>
      <c r="I37" s="5">
        <v>10.832000000000001</v>
      </c>
      <c r="J37" s="5">
        <v>0.106</v>
      </c>
      <c r="K37" s="5">
        <v>42</v>
      </c>
      <c r="L37" s="8">
        <v>46156</v>
      </c>
      <c r="M37" s="4" t="str">
        <f t="shared" si="0"/>
        <v>목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5">
        <v>3.6</v>
      </c>
      <c r="F38" s="37"/>
      <c r="G38" s="5">
        <v>3.8</v>
      </c>
      <c r="H38" s="5">
        <v>17</v>
      </c>
      <c r="I38" s="5">
        <v>2.36</v>
      </c>
      <c r="J38" s="5">
        <v>4.3999999999999997E-2</v>
      </c>
      <c r="K38" s="5">
        <v>14</v>
      </c>
      <c r="L38" s="8">
        <v>46156</v>
      </c>
      <c r="M38" s="4" t="str">
        <f t="shared" si="0"/>
        <v>목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5">
        <v>20.100000000000001</v>
      </c>
      <c r="F39" s="37"/>
      <c r="G39" s="5">
        <v>24.2</v>
      </c>
      <c r="H39" s="5">
        <v>15.6</v>
      </c>
      <c r="I39" s="5">
        <v>8.0030000000000001</v>
      </c>
      <c r="J39" s="5">
        <v>0.186</v>
      </c>
      <c r="K39" s="5">
        <v>33</v>
      </c>
      <c r="L39" s="8">
        <v>46149</v>
      </c>
      <c r="M39" s="4" t="str">
        <f t="shared" si="0"/>
        <v>목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2E7B-4136-4869-8064-F9B352A1C2AB}">
  <sheetPr>
    <tabColor rgb="FF0070C0"/>
    <pageSetUpPr fitToPage="1"/>
  </sheetPr>
  <dimension ref="A1:N4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5" sqref="D15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259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4">
        <v>1.8</v>
      </c>
      <c r="F3" s="5">
        <v>3.5</v>
      </c>
      <c r="G3" s="4">
        <v>0.5</v>
      </c>
      <c r="H3" s="4">
        <v>3.9</v>
      </c>
      <c r="I3" s="4">
        <v>3.698</v>
      </c>
      <c r="J3" s="4">
        <v>3.1E-2</v>
      </c>
      <c r="K3" s="4">
        <v>12</v>
      </c>
      <c r="L3" s="8">
        <v>46126</v>
      </c>
      <c r="M3" s="4" t="str">
        <f>TEXT(L3,"aaa")</f>
        <v>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4">
        <v>2.8</v>
      </c>
      <c r="F4" s="37"/>
      <c r="G4" s="4">
        <v>2</v>
      </c>
      <c r="H4" s="4">
        <v>7</v>
      </c>
      <c r="I4" s="4">
        <v>2.2709999999999999</v>
      </c>
      <c r="J4" s="4">
        <v>4.5999999999999999E-2</v>
      </c>
      <c r="K4" s="4">
        <v>18</v>
      </c>
      <c r="L4" s="8">
        <v>46120</v>
      </c>
      <c r="M4" s="4" t="str">
        <f t="shared" ref="M4:M39" si="0">TEXT(L4,"aaa")</f>
        <v>수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4">
        <v>3.1</v>
      </c>
      <c r="F5" s="37"/>
      <c r="G5" s="4">
        <v>2.1</v>
      </c>
      <c r="H5" s="4">
        <v>8</v>
      </c>
      <c r="I5" s="4">
        <v>2.9529999999999998</v>
      </c>
      <c r="J5" s="4">
        <v>5.0999999999999997E-2</v>
      </c>
      <c r="K5" s="4">
        <v>20</v>
      </c>
      <c r="L5" s="8">
        <v>46120</v>
      </c>
      <c r="M5" s="4" t="str">
        <f t="shared" si="0"/>
        <v>수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4">
        <v>5</v>
      </c>
      <c r="F6" s="37"/>
      <c r="G6" s="4">
        <v>3.1</v>
      </c>
      <c r="H6" s="4">
        <v>8.8000000000000007</v>
      </c>
      <c r="I6" s="4">
        <v>4.4359999999999999</v>
      </c>
      <c r="J6" s="4">
        <v>6.4000000000000001E-2</v>
      </c>
      <c r="K6" s="4">
        <v>26</v>
      </c>
      <c r="L6" s="8">
        <v>46120</v>
      </c>
      <c r="M6" s="4" t="str">
        <f t="shared" si="0"/>
        <v>수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4">
        <v>2.2999999999999998</v>
      </c>
      <c r="F7" s="37"/>
      <c r="G7" s="4">
        <v>0.8</v>
      </c>
      <c r="H7" s="4">
        <v>1.9</v>
      </c>
      <c r="I7" s="4">
        <v>1.3420000000000001</v>
      </c>
      <c r="J7" s="4">
        <v>3.9E-2</v>
      </c>
      <c r="K7" s="4">
        <v>15</v>
      </c>
      <c r="L7" s="8">
        <v>46126</v>
      </c>
      <c r="M7" s="4" t="str">
        <f t="shared" si="0"/>
        <v>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4">
        <v>2.4</v>
      </c>
      <c r="F8" s="5">
        <v>4.8</v>
      </c>
      <c r="G8" s="4">
        <v>0.7</v>
      </c>
      <c r="H8" s="4">
        <v>2.4</v>
      </c>
      <c r="I8" s="4">
        <v>1.3169999999999999</v>
      </c>
      <c r="J8" s="4">
        <v>0.04</v>
      </c>
      <c r="K8" s="4">
        <v>11</v>
      </c>
      <c r="L8" s="8">
        <v>46126</v>
      </c>
      <c r="M8" s="4" t="str">
        <f t="shared" si="0"/>
        <v>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4">
        <v>5</v>
      </c>
      <c r="F9" s="37"/>
      <c r="G9" s="4">
        <v>1.8</v>
      </c>
      <c r="H9" s="4">
        <v>1.9</v>
      </c>
      <c r="I9" s="4">
        <v>5.2249999999999996</v>
      </c>
      <c r="J9" s="4">
        <v>6.8000000000000005E-2</v>
      </c>
      <c r="K9" s="4">
        <v>35</v>
      </c>
      <c r="L9" s="8">
        <v>46126</v>
      </c>
      <c r="M9" s="4" t="str">
        <f t="shared" si="0"/>
        <v>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4">
        <v>4.5</v>
      </c>
      <c r="F10" s="37"/>
      <c r="G10" s="4">
        <v>1.2</v>
      </c>
      <c r="H10" s="4">
        <v>1.3</v>
      </c>
      <c r="I10" s="4">
        <v>5.35</v>
      </c>
      <c r="J10" s="4">
        <v>0.253</v>
      </c>
      <c r="K10" s="4">
        <v>34</v>
      </c>
      <c r="L10" s="8">
        <v>46126</v>
      </c>
      <c r="M10" s="4" t="str">
        <f t="shared" si="0"/>
        <v>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4">
        <v>4.5</v>
      </c>
      <c r="F11" s="37"/>
      <c r="G11" s="4">
        <v>1.5</v>
      </c>
      <c r="H11" s="4">
        <v>1.5</v>
      </c>
      <c r="I11" s="4">
        <v>5.335</v>
      </c>
      <c r="J11" s="4">
        <v>0.253</v>
      </c>
      <c r="K11" s="4">
        <v>33</v>
      </c>
      <c r="L11" s="8">
        <v>46126</v>
      </c>
      <c r="M11" s="4" t="str">
        <f t="shared" si="0"/>
        <v>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4">
        <v>2</v>
      </c>
      <c r="F12" s="5">
        <v>3.9</v>
      </c>
      <c r="G12" s="4">
        <v>0.6</v>
      </c>
      <c r="H12" s="4">
        <v>1</v>
      </c>
      <c r="I12" s="4">
        <v>3.7269999999999999</v>
      </c>
      <c r="J12" s="4">
        <v>3.9E-2</v>
      </c>
      <c r="K12" s="4">
        <v>12</v>
      </c>
      <c r="L12" s="8">
        <v>46126</v>
      </c>
      <c r="M12" s="4" t="str">
        <f t="shared" si="0"/>
        <v>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4">
        <v>1.7</v>
      </c>
      <c r="F13" s="37"/>
      <c r="G13" s="4">
        <v>0.5</v>
      </c>
      <c r="H13" s="4">
        <v>1.2</v>
      </c>
      <c r="I13" s="4">
        <v>3.7850000000000001</v>
      </c>
      <c r="J13" s="4">
        <v>3.3000000000000002E-2</v>
      </c>
      <c r="K13" s="4">
        <v>13</v>
      </c>
      <c r="L13" s="8">
        <v>46126</v>
      </c>
      <c r="M13" s="4" t="str">
        <f t="shared" si="0"/>
        <v>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4">
        <v>2.2000000000000002</v>
      </c>
      <c r="F14" s="37"/>
      <c r="G14" s="4">
        <v>0.5</v>
      </c>
      <c r="H14" s="4">
        <v>0.9</v>
      </c>
      <c r="I14" s="4">
        <v>3.7389999999999999</v>
      </c>
      <c r="J14" s="4">
        <v>3.4000000000000002E-2</v>
      </c>
      <c r="K14" s="4">
        <v>15</v>
      </c>
      <c r="L14" s="8">
        <v>46126</v>
      </c>
      <c r="M14" s="4" t="str">
        <f t="shared" si="0"/>
        <v>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4">
        <v>2.2000000000000002</v>
      </c>
      <c r="F15" s="37"/>
      <c r="G15" s="4">
        <v>0.7</v>
      </c>
      <c r="H15" s="4">
        <v>1.1000000000000001</v>
      </c>
      <c r="I15" s="4">
        <v>3.698</v>
      </c>
      <c r="J15" s="4">
        <v>3.5000000000000003E-2</v>
      </c>
      <c r="K15" s="4">
        <v>12</v>
      </c>
      <c r="L15" s="8">
        <v>46126</v>
      </c>
      <c r="M15" s="4" t="str">
        <f t="shared" si="0"/>
        <v>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4">
        <v>2.2000000000000002</v>
      </c>
      <c r="F16" s="37"/>
      <c r="G16" s="4">
        <v>0.6</v>
      </c>
      <c r="H16" s="4">
        <v>0.8</v>
      </c>
      <c r="I16" s="4">
        <v>3.702</v>
      </c>
      <c r="J16" s="4">
        <v>3.5999999999999997E-2</v>
      </c>
      <c r="K16" s="4">
        <v>10</v>
      </c>
      <c r="L16" s="8">
        <v>46126</v>
      </c>
      <c r="M16" s="4" t="str">
        <f t="shared" si="0"/>
        <v>화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4">
        <v>4</v>
      </c>
      <c r="F17" s="37"/>
      <c r="G17" s="4">
        <v>2.2999999999999998</v>
      </c>
      <c r="H17" s="4">
        <v>1.5</v>
      </c>
      <c r="I17" s="4">
        <v>14.988</v>
      </c>
      <c r="J17" s="4">
        <v>6.9000000000000006E-2</v>
      </c>
      <c r="K17" s="4">
        <v>31</v>
      </c>
      <c r="L17" s="8">
        <v>46126</v>
      </c>
      <c r="M17" s="4" t="str">
        <f t="shared" si="0"/>
        <v>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4">
        <v>4</v>
      </c>
      <c r="F18" s="37"/>
      <c r="G18" s="4">
        <v>2.2999999999999998</v>
      </c>
      <c r="H18" s="4">
        <v>1.9</v>
      </c>
      <c r="I18" s="4">
        <v>14.773</v>
      </c>
      <c r="J18" s="4">
        <v>6.7000000000000004E-2</v>
      </c>
      <c r="K18" s="4">
        <v>32</v>
      </c>
      <c r="L18" s="8">
        <v>46126</v>
      </c>
      <c r="M18" s="4" t="str">
        <f t="shared" si="0"/>
        <v>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4">
        <v>5</v>
      </c>
      <c r="F19" s="5">
        <v>9.4</v>
      </c>
      <c r="G19" s="4">
        <v>2.1</v>
      </c>
      <c r="H19" s="4">
        <v>1.6</v>
      </c>
      <c r="I19" s="4">
        <v>5.0609999999999999</v>
      </c>
      <c r="J19" s="4">
        <v>6.8000000000000005E-2</v>
      </c>
      <c r="K19" s="4">
        <v>34</v>
      </c>
      <c r="L19" s="8">
        <v>46126</v>
      </c>
      <c r="M19" s="4" t="str">
        <f t="shared" si="0"/>
        <v>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4">
        <v>2.2999999999999998</v>
      </c>
      <c r="F20" s="37"/>
      <c r="G20" s="4">
        <v>1.9</v>
      </c>
      <c r="H20" s="4">
        <v>14.4</v>
      </c>
      <c r="I20" s="4">
        <v>6.7320000000000002</v>
      </c>
      <c r="J20" s="4">
        <v>0.08</v>
      </c>
      <c r="K20" s="4">
        <v>6</v>
      </c>
      <c r="L20" s="8">
        <v>46120</v>
      </c>
      <c r="M20" s="4" t="str">
        <f t="shared" si="0"/>
        <v>수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4">
        <v>3.2</v>
      </c>
      <c r="F21" s="37"/>
      <c r="G21" s="4">
        <v>3.1</v>
      </c>
      <c r="H21" s="4">
        <v>6.9</v>
      </c>
      <c r="I21" s="4">
        <v>10.423</v>
      </c>
      <c r="J21" s="4">
        <v>0.13</v>
      </c>
      <c r="K21" s="4">
        <v>8</v>
      </c>
      <c r="L21" s="8">
        <v>46120</v>
      </c>
      <c r="M21" s="4" t="str">
        <f t="shared" si="0"/>
        <v>수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4">
        <v>7.5</v>
      </c>
      <c r="F22" s="37"/>
      <c r="G22" s="4">
        <v>5.7</v>
      </c>
      <c r="H22" s="4">
        <v>20</v>
      </c>
      <c r="I22" s="4">
        <v>7.0940000000000003</v>
      </c>
      <c r="J22" s="4">
        <v>0.127</v>
      </c>
      <c r="K22" s="4">
        <v>22</v>
      </c>
      <c r="L22" s="8">
        <v>46120</v>
      </c>
      <c r="M22" s="4" t="str">
        <f t="shared" si="0"/>
        <v>수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4">
        <v>7.3</v>
      </c>
      <c r="F23" s="37"/>
      <c r="G23" s="4">
        <v>3.2</v>
      </c>
      <c r="H23" s="4">
        <v>10.4</v>
      </c>
      <c r="I23" s="4">
        <v>7.2759999999999998</v>
      </c>
      <c r="J23" s="4">
        <v>0.128</v>
      </c>
      <c r="K23" s="4">
        <v>25</v>
      </c>
      <c r="L23" s="8">
        <v>46120</v>
      </c>
      <c r="M23" s="4" t="str">
        <f t="shared" si="0"/>
        <v>수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4">
        <v>4.9000000000000004</v>
      </c>
      <c r="F24" s="5">
        <v>9.8000000000000007</v>
      </c>
      <c r="G24" s="4">
        <v>4.7</v>
      </c>
      <c r="H24" s="4">
        <v>22.4</v>
      </c>
      <c r="I24" s="4">
        <v>6.3209999999999997</v>
      </c>
      <c r="J24" s="4">
        <v>0.107</v>
      </c>
      <c r="K24" s="4">
        <v>41</v>
      </c>
      <c r="L24" s="8">
        <v>46120</v>
      </c>
      <c r="M24" s="4" t="str">
        <f t="shared" si="0"/>
        <v>수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4">
        <v>7.9</v>
      </c>
      <c r="F25" s="37"/>
      <c r="G25" s="4">
        <v>4</v>
      </c>
      <c r="H25" s="4">
        <v>20.399999999999999</v>
      </c>
      <c r="I25" s="4">
        <v>6.3019999999999996</v>
      </c>
      <c r="J25" s="4">
        <v>0.106</v>
      </c>
      <c r="K25" s="4">
        <v>57</v>
      </c>
      <c r="L25" s="8">
        <v>46120</v>
      </c>
      <c r="M25" s="4" t="str">
        <f t="shared" si="0"/>
        <v>수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">
        <v>5.6</v>
      </c>
      <c r="F26" s="37"/>
      <c r="G26" s="4">
        <v>4.9000000000000004</v>
      </c>
      <c r="H26" s="4">
        <v>7.2</v>
      </c>
      <c r="I26" s="4">
        <v>6.359</v>
      </c>
      <c r="J26" s="4">
        <v>0.08</v>
      </c>
      <c r="K26" s="4">
        <v>20</v>
      </c>
      <c r="L26" s="8">
        <v>46120</v>
      </c>
      <c r="M26" s="4" t="str">
        <f t="shared" si="0"/>
        <v>수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4">
        <v>8.1</v>
      </c>
      <c r="F27" s="37"/>
      <c r="G27" s="4">
        <v>6.8</v>
      </c>
      <c r="H27" s="4">
        <v>8.8000000000000007</v>
      </c>
      <c r="I27" s="4">
        <v>9.2850000000000001</v>
      </c>
      <c r="J27" s="4">
        <v>0.104</v>
      </c>
      <c r="K27" s="4">
        <v>38</v>
      </c>
      <c r="L27" s="8">
        <v>46120</v>
      </c>
      <c r="M27" s="4" t="str">
        <f t="shared" si="0"/>
        <v>수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4">
        <v>10.199999999999999</v>
      </c>
      <c r="F28" s="37"/>
      <c r="G28" s="4">
        <v>2.8</v>
      </c>
      <c r="H28" s="4">
        <v>10</v>
      </c>
      <c r="I28" s="4">
        <v>8.1059999999999999</v>
      </c>
      <c r="J28" s="4">
        <v>0.14899999999999999</v>
      </c>
      <c r="K28" s="4">
        <v>130</v>
      </c>
      <c r="L28" s="8">
        <v>46120</v>
      </c>
      <c r="M28" s="4" t="str">
        <f t="shared" si="0"/>
        <v>수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4">
        <v>9.6999999999999993</v>
      </c>
      <c r="F29" s="37"/>
      <c r="G29" s="4">
        <v>2.5</v>
      </c>
      <c r="H29" s="4">
        <v>11.6</v>
      </c>
      <c r="I29" s="4">
        <v>8.8109999999999999</v>
      </c>
      <c r="J29" s="4">
        <v>0.108</v>
      </c>
      <c r="K29" s="4">
        <v>83</v>
      </c>
      <c r="L29" s="8">
        <v>46120</v>
      </c>
      <c r="M29" s="4" t="str">
        <f t="shared" si="0"/>
        <v>수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4">
        <v>7.8</v>
      </c>
      <c r="F30" s="37"/>
      <c r="G30" s="4">
        <v>9.6</v>
      </c>
      <c r="H30" s="4">
        <v>12</v>
      </c>
      <c r="I30" s="4">
        <v>10.175000000000001</v>
      </c>
      <c r="J30" s="4">
        <v>9.0999999999999998E-2</v>
      </c>
      <c r="K30" s="4">
        <v>59</v>
      </c>
      <c r="L30" s="8">
        <v>46120</v>
      </c>
      <c r="M30" s="4" t="str">
        <f t="shared" si="0"/>
        <v>수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4">
        <v>7.5</v>
      </c>
      <c r="F31" s="37"/>
      <c r="G31" s="4">
        <v>4.5999999999999996</v>
      </c>
      <c r="H31" s="4">
        <v>11.2</v>
      </c>
      <c r="I31" s="4">
        <v>9.6389999999999993</v>
      </c>
      <c r="J31" s="4">
        <v>0.104</v>
      </c>
      <c r="K31" s="4">
        <v>56</v>
      </c>
      <c r="L31" s="8">
        <v>46120</v>
      </c>
      <c r="M31" s="4" t="str">
        <f t="shared" si="0"/>
        <v>수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4">
        <v>7.3</v>
      </c>
      <c r="F32" s="37"/>
      <c r="G32" s="4">
        <v>3</v>
      </c>
      <c r="H32" s="4">
        <v>8.4</v>
      </c>
      <c r="I32" s="4">
        <v>8.1329999999999991</v>
      </c>
      <c r="J32" s="4">
        <v>7.9000000000000001E-2</v>
      </c>
      <c r="K32" s="4">
        <v>54</v>
      </c>
      <c r="L32" s="8">
        <v>46120</v>
      </c>
      <c r="M32" s="4" t="str">
        <f t="shared" si="0"/>
        <v>수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4">
        <v>22.2</v>
      </c>
      <c r="F33" s="37"/>
      <c r="G33" s="4">
        <v>4.2</v>
      </c>
      <c r="H33" s="4">
        <v>6.2</v>
      </c>
      <c r="I33" s="12">
        <v>152.947</v>
      </c>
      <c r="J33" s="4">
        <v>0.20100000000000001</v>
      </c>
      <c r="K33" s="4">
        <v>72</v>
      </c>
      <c r="L33" s="8">
        <v>46120</v>
      </c>
      <c r="M33" s="4" t="str">
        <f t="shared" si="0"/>
        <v>수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4">
        <v>15.3</v>
      </c>
      <c r="F34" s="37"/>
      <c r="G34" s="4">
        <v>4.0999999999999996</v>
      </c>
      <c r="H34" s="4">
        <v>5.6</v>
      </c>
      <c r="I34" s="4">
        <v>5.04</v>
      </c>
      <c r="J34" s="4">
        <v>0.221</v>
      </c>
      <c r="K34" s="4">
        <v>39</v>
      </c>
      <c r="L34" s="8">
        <v>46120</v>
      </c>
      <c r="M34" s="4" t="str">
        <f t="shared" si="0"/>
        <v>수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4">
        <v>19.3</v>
      </c>
      <c r="F35" s="37"/>
      <c r="G35" s="4">
        <v>2.7</v>
      </c>
      <c r="H35" s="4">
        <v>9.1</v>
      </c>
      <c r="I35" s="4">
        <v>1.7230000000000001</v>
      </c>
      <c r="J35" s="4">
        <v>2.8000000000000001E-2</v>
      </c>
      <c r="K35" s="4">
        <v>19</v>
      </c>
      <c r="L35" s="8">
        <v>46120</v>
      </c>
      <c r="M35" s="4" t="str">
        <f t="shared" si="0"/>
        <v>수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4">
        <v>8.4</v>
      </c>
      <c r="F36" s="37"/>
      <c r="G36" s="4">
        <v>5.7</v>
      </c>
      <c r="H36" s="4">
        <v>7.6</v>
      </c>
      <c r="I36" s="4">
        <v>3.3359999999999999</v>
      </c>
      <c r="J36" s="4">
        <v>9.4E-2</v>
      </c>
      <c r="K36" s="4">
        <v>7</v>
      </c>
      <c r="L36" s="8">
        <v>46120</v>
      </c>
      <c r="M36" s="4" t="str">
        <f t="shared" si="0"/>
        <v>수</v>
      </c>
      <c r="N36" s="3" t="s">
        <v>107</v>
      </c>
    </row>
    <row r="37" spans="1:14" ht="20.25" customHeight="1" x14ac:dyDescent="0.3">
      <c r="A37" s="2">
        <v>35</v>
      </c>
      <c r="B37" s="50" t="s">
        <v>119</v>
      </c>
      <c r="C37" s="1" t="s">
        <v>98</v>
      </c>
      <c r="D37" s="33" t="s">
        <v>99</v>
      </c>
      <c r="E37" s="4">
        <v>5.4</v>
      </c>
      <c r="F37" s="37"/>
      <c r="G37" s="4">
        <v>2.1</v>
      </c>
      <c r="H37" s="4">
        <v>15.5</v>
      </c>
      <c r="I37" s="4">
        <v>10.973000000000001</v>
      </c>
      <c r="J37" s="4">
        <v>5.0999999999999997E-2</v>
      </c>
      <c r="K37" s="4">
        <v>40</v>
      </c>
      <c r="L37" s="8">
        <v>46120</v>
      </c>
      <c r="M37" s="4" t="str">
        <f t="shared" si="0"/>
        <v>수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4">
        <v>2.9</v>
      </c>
      <c r="F38" s="37"/>
      <c r="G38" s="4">
        <v>1.4</v>
      </c>
      <c r="H38" s="4">
        <v>124.8</v>
      </c>
      <c r="I38" s="4">
        <v>3.0230000000000001</v>
      </c>
      <c r="J38" s="4">
        <v>0.13900000000000001</v>
      </c>
      <c r="K38" s="4">
        <v>16</v>
      </c>
      <c r="L38" s="8">
        <v>46120</v>
      </c>
      <c r="M38" s="4" t="str">
        <f t="shared" si="0"/>
        <v>수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4">
        <v>7.4</v>
      </c>
      <c r="F39" s="37"/>
      <c r="G39" s="4">
        <v>9.1999999999999993</v>
      </c>
      <c r="H39" s="4">
        <v>10.199999999999999</v>
      </c>
      <c r="I39" s="4">
        <v>4.0330000000000004</v>
      </c>
      <c r="J39" s="4">
        <v>0.19600000000000001</v>
      </c>
      <c r="K39" s="4">
        <v>24</v>
      </c>
      <c r="L39" s="8">
        <v>46120</v>
      </c>
      <c r="M39" s="4" t="str">
        <f t="shared" si="0"/>
        <v>수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E5BA-7C71-4B5E-B6A5-2BB65DEDED87}">
  <sheetPr>
    <tabColor rgb="FF0070C0"/>
  </sheetPr>
  <dimension ref="A1:N4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7" sqref="D27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124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44">
        <v>3.8</v>
      </c>
      <c r="F3" s="5">
        <v>5.0999999999999996</v>
      </c>
      <c r="G3" s="5">
        <v>2.8</v>
      </c>
      <c r="H3" s="5">
        <v>2.4</v>
      </c>
      <c r="I3" s="5">
        <v>6.0149999999999997</v>
      </c>
      <c r="J3" s="5">
        <v>3.5999999999999997E-2</v>
      </c>
      <c r="K3" s="5">
        <v>20</v>
      </c>
      <c r="L3" s="8">
        <v>46105</v>
      </c>
      <c r="M3" s="4" t="str">
        <f>TEXT(L3,"aaa")</f>
        <v>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44">
        <v>2.1</v>
      </c>
      <c r="F4" s="37"/>
      <c r="G4" s="5">
        <v>1.8</v>
      </c>
      <c r="H4" s="5">
        <v>2.9</v>
      </c>
      <c r="I4" s="5">
        <v>2.2530000000000001</v>
      </c>
      <c r="J4" s="5">
        <v>1.7999999999999999E-2</v>
      </c>
      <c r="K4" s="5">
        <v>8</v>
      </c>
      <c r="L4" s="8">
        <v>46092</v>
      </c>
      <c r="M4" s="4" t="str">
        <f t="shared" ref="M4:M39" si="0">TEXT(L4,"aaa")</f>
        <v>수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44">
        <v>2.4</v>
      </c>
      <c r="F5" s="37"/>
      <c r="G5" s="5">
        <v>1.9</v>
      </c>
      <c r="H5" s="5">
        <v>2.8</v>
      </c>
      <c r="I5" s="5">
        <v>3.4860000000000002</v>
      </c>
      <c r="J5" s="5">
        <v>2.1000000000000001E-2</v>
      </c>
      <c r="K5" s="5">
        <v>11</v>
      </c>
      <c r="L5" s="8">
        <v>46092</v>
      </c>
      <c r="M5" s="4" t="str">
        <f t="shared" si="0"/>
        <v>수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44">
        <v>2.8</v>
      </c>
      <c r="F6" s="37"/>
      <c r="G6" s="5">
        <v>1.9</v>
      </c>
      <c r="H6" s="5">
        <v>2.5</v>
      </c>
      <c r="I6" s="5">
        <v>4.0789999999999997</v>
      </c>
      <c r="J6" s="5">
        <v>2.7E-2</v>
      </c>
      <c r="K6" s="5">
        <v>17</v>
      </c>
      <c r="L6" s="8">
        <v>46092</v>
      </c>
      <c r="M6" s="4" t="str">
        <f t="shared" si="0"/>
        <v>수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44">
        <v>3.7</v>
      </c>
      <c r="F7" s="37"/>
      <c r="G7" s="5">
        <v>2.7</v>
      </c>
      <c r="H7" s="5">
        <v>2.5</v>
      </c>
      <c r="I7" s="5">
        <v>6.1239999999999997</v>
      </c>
      <c r="J7" s="5">
        <v>3.6999999999999998E-2</v>
      </c>
      <c r="K7" s="5">
        <v>14</v>
      </c>
      <c r="L7" s="8">
        <v>46105</v>
      </c>
      <c r="M7" s="4" t="str">
        <f t="shared" si="0"/>
        <v>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44">
        <v>3.9</v>
      </c>
      <c r="F8" s="5">
        <v>5.5</v>
      </c>
      <c r="G8" s="5">
        <v>2.5</v>
      </c>
      <c r="H8" s="5">
        <v>3.3</v>
      </c>
      <c r="I8" s="5">
        <v>6.0780000000000003</v>
      </c>
      <c r="J8" s="5">
        <v>3.4000000000000002E-2</v>
      </c>
      <c r="K8" s="5">
        <v>18</v>
      </c>
      <c r="L8" s="8">
        <v>46105</v>
      </c>
      <c r="M8" s="4" t="str">
        <f t="shared" si="0"/>
        <v>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44">
        <v>3.9</v>
      </c>
      <c r="F9" s="37"/>
      <c r="G9" s="5">
        <v>2.9</v>
      </c>
      <c r="H9" s="5">
        <v>2.8</v>
      </c>
      <c r="I9" s="5">
        <v>6.3769999999999998</v>
      </c>
      <c r="J9" s="5">
        <v>3.5999999999999997E-2</v>
      </c>
      <c r="K9" s="5">
        <v>24</v>
      </c>
      <c r="L9" s="8">
        <v>46105</v>
      </c>
      <c r="M9" s="4" t="str">
        <f t="shared" si="0"/>
        <v>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44">
        <v>5.9</v>
      </c>
      <c r="F10" s="37"/>
      <c r="G10" s="5">
        <v>3.4</v>
      </c>
      <c r="H10" s="5">
        <v>8.8000000000000007</v>
      </c>
      <c r="I10" s="5">
        <v>6.6609999999999996</v>
      </c>
      <c r="J10" s="5">
        <v>0.05</v>
      </c>
      <c r="K10" s="5">
        <v>36</v>
      </c>
      <c r="L10" s="8">
        <v>46105</v>
      </c>
      <c r="M10" s="4" t="str">
        <f t="shared" si="0"/>
        <v>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44">
        <v>5.8</v>
      </c>
      <c r="F11" s="37"/>
      <c r="G11" s="5">
        <v>2.2999999999999998</v>
      </c>
      <c r="H11" s="5">
        <v>3.3</v>
      </c>
      <c r="I11" s="5">
        <v>6.6479999999999997</v>
      </c>
      <c r="J11" s="5">
        <v>0.05</v>
      </c>
      <c r="K11" s="5">
        <v>37</v>
      </c>
      <c r="L11" s="8">
        <v>46105</v>
      </c>
      <c r="M11" s="4" t="str">
        <f t="shared" si="0"/>
        <v>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44">
        <v>2.4</v>
      </c>
      <c r="F12" s="5">
        <v>2.9</v>
      </c>
      <c r="G12" s="5">
        <v>2.2000000000000002</v>
      </c>
      <c r="H12" s="5">
        <v>2</v>
      </c>
      <c r="I12" s="5">
        <v>4.6349999999999998</v>
      </c>
      <c r="J12" s="5">
        <v>2.1000000000000001E-2</v>
      </c>
      <c r="K12" s="5">
        <v>15</v>
      </c>
      <c r="L12" s="8">
        <v>46105</v>
      </c>
      <c r="M12" s="4" t="str">
        <f t="shared" si="0"/>
        <v>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44">
        <v>2.2999999999999998</v>
      </c>
      <c r="F13" s="37"/>
      <c r="G13" s="5">
        <v>2</v>
      </c>
      <c r="H13" s="5">
        <v>1.8</v>
      </c>
      <c r="I13" s="5">
        <v>4.6779999999999999</v>
      </c>
      <c r="J13" s="5">
        <v>2.1999999999999999E-2</v>
      </c>
      <c r="K13" s="5">
        <v>18</v>
      </c>
      <c r="L13" s="8">
        <v>46105</v>
      </c>
      <c r="M13" s="4" t="str">
        <f t="shared" si="0"/>
        <v>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44">
        <v>2.4</v>
      </c>
      <c r="F14" s="37"/>
      <c r="G14" s="5">
        <v>2</v>
      </c>
      <c r="H14" s="5">
        <v>2.7</v>
      </c>
      <c r="I14" s="5">
        <v>4.7510000000000003</v>
      </c>
      <c r="J14" s="5">
        <v>3.5000000000000003E-2</v>
      </c>
      <c r="K14" s="5">
        <v>9</v>
      </c>
      <c r="L14" s="8">
        <v>46105</v>
      </c>
      <c r="M14" s="4" t="str">
        <f t="shared" si="0"/>
        <v>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44">
        <v>2.4</v>
      </c>
      <c r="F15" s="37"/>
      <c r="G15" s="5">
        <v>1.6</v>
      </c>
      <c r="H15" s="5">
        <v>1.8</v>
      </c>
      <c r="I15" s="5">
        <v>4.4729999999999999</v>
      </c>
      <c r="J15" s="5">
        <v>2.1000000000000001E-2</v>
      </c>
      <c r="K15" s="5">
        <v>12</v>
      </c>
      <c r="L15" s="8">
        <v>46105</v>
      </c>
      <c r="M15" s="4" t="str">
        <f t="shared" si="0"/>
        <v>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44">
        <v>2.2000000000000002</v>
      </c>
      <c r="F16" s="37"/>
      <c r="G16" s="5">
        <v>2.1</v>
      </c>
      <c r="H16" s="5">
        <v>1.7</v>
      </c>
      <c r="I16" s="5">
        <v>4.718</v>
      </c>
      <c r="J16" s="5">
        <v>3.1E-2</v>
      </c>
      <c r="K16" s="5">
        <v>17</v>
      </c>
      <c r="L16" s="8">
        <v>46105</v>
      </c>
      <c r="M16" s="4" t="str">
        <f t="shared" si="0"/>
        <v>화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44">
        <v>5.9</v>
      </c>
      <c r="F17" s="37"/>
      <c r="G17" s="5">
        <v>5.0999999999999996</v>
      </c>
      <c r="H17" s="5">
        <v>5.2</v>
      </c>
      <c r="I17" s="5">
        <v>26.718</v>
      </c>
      <c r="J17" s="5">
        <v>8.7999999999999995E-2</v>
      </c>
      <c r="K17" s="5">
        <v>35</v>
      </c>
      <c r="L17" s="8">
        <v>46105</v>
      </c>
      <c r="M17" s="4" t="str">
        <f t="shared" si="0"/>
        <v>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44">
        <v>5.9</v>
      </c>
      <c r="F18" s="37"/>
      <c r="G18" s="5">
        <v>5</v>
      </c>
      <c r="H18" s="5">
        <v>5.4</v>
      </c>
      <c r="I18" s="5">
        <v>29.178000000000001</v>
      </c>
      <c r="J18" s="5">
        <v>9.0999999999999998E-2</v>
      </c>
      <c r="K18" s="5">
        <v>35</v>
      </c>
      <c r="L18" s="8">
        <v>46105</v>
      </c>
      <c r="M18" s="4" t="str">
        <f t="shared" si="0"/>
        <v>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44">
        <v>5.6</v>
      </c>
      <c r="F19" s="5">
        <v>9.1999999999999993</v>
      </c>
      <c r="G19" s="5">
        <v>2.1</v>
      </c>
      <c r="H19" s="5">
        <v>3.3</v>
      </c>
      <c r="I19" s="5">
        <v>6.5609999999999999</v>
      </c>
      <c r="J19" s="5">
        <v>4.5999999999999999E-2</v>
      </c>
      <c r="K19" s="5">
        <v>32</v>
      </c>
      <c r="L19" s="8">
        <v>46105</v>
      </c>
      <c r="M19" s="4" t="str">
        <f t="shared" si="0"/>
        <v>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44">
        <v>2.75</v>
      </c>
      <c r="F20" s="37"/>
      <c r="G20" s="5">
        <v>2.2000000000000002</v>
      </c>
      <c r="H20" s="5">
        <v>5.6</v>
      </c>
      <c r="I20" s="5">
        <v>5.782</v>
      </c>
      <c r="J20" s="5">
        <v>8.5999999999999993E-2</v>
      </c>
      <c r="K20" s="5">
        <v>17</v>
      </c>
      <c r="L20" s="8">
        <v>46091</v>
      </c>
      <c r="M20" s="4" t="str">
        <f t="shared" si="0"/>
        <v>화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44">
        <v>4.67</v>
      </c>
      <c r="F21" s="37"/>
      <c r="G21" s="5">
        <v>3.2</v>
      </c>
      <c r="H21" s="5">
        <v>4.0999999999999996</v>
      </c>
      <c r="I21" s="5">
        <v>9.0540000000000003</v>
      </c>
      <c r="J21" s="5">
        <v>9.2999999999999999E-2</v>
      </c>
      <c r="K21" s="5">
        <v>9</v>
      </c>
      <c r="L21" s="8">
        <v>46091</v>
      </c>
      <c r="M21" s="4" t="str">
        <f t="shared" si="0"/>
        <v>화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44">
        <v>5.57</v>
      </c>
      <c r="F22" s="37"/>
      <c r="G22" s="5">
        <v>3.6</v>
      </c>
      <c r="H22" s="5">
        <v>4.5999999999999996</v>
      </c>
      <c r="I22" s="5">
        <v>6.9909999999999997</v>
      </c>
      <c r="J22" s="5">
        <v>0.108</v>
      </c>
      <c r="K22" s="5">
        <v>22</v>
      </c>
      <c r="L22" s="8">
        <v>46091</v>
      </c>
      <c r="M22" s="4" t="str">
        <f t="shared" si="0"/>
        <v>화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44">
        <v>5.65</v>
      </c>
      <c r="F23" s="37"/>
      <c r="G23" s="5">
        <v>3.9</v>
      </c>
      <c r="H23" s="5">
        <v>5.6</v>
      </c>
      <c r="I23" s="5">
        <v>7.2949999999999999</v>
      </c>
      <c r="J23" s="5">
        <v>9.7000000000000003E-2</v>
      </c>
      <c r="K23" s="5">
        <v>16</v>
      </c>
      <c r="L23" s="8">
        <v>46091</v>
      </c>
      <c r="M23" s="4" t="str">
        <f t="shared" si="0"/>
        <v>화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44">
        <v>5.79</v>
      </c>
      <c r="F24" s="5">
        <v>7.7</v>
      </c>
      <c r="G24" s="5">
        <v>2.9</v>
      </c>
      <c r="H24" s="5">
        <v>5.3</v>
      </c>
      <c r="I24" s="5">
        <v>7.0010000000000003</v>
      </c>
      <c r="J24" s="5">
        <v>6.2E-2</v>
      </c>
      <c r="K24" s="5">
        <v>23</v>
      </c>
      <c r="L24" s="8">
        <v>46091</v>
      </c>
      <c r="M24" s="4" t="str">
        <f t="shared" si="0"/>
        <v>화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44">
        <v>5.48</v>
      </c>
      <c r="F25" s="37"/>
      <c r="G25" s="5">
        <v>2.9</v>
      </c>
      <c r="H25" s="5">
        <v>4.8</v>
      </c>
      <c r="I25" s="5">
        <v>7.141</v>
      </c>
      <c r="J25" s="5">
        <v>7.0000000000000007E-2</v>
      </c>
      <c r="K25" s="5">
        <v>24</v>
      </c>
      <c r="L25" s="8">
        <v>46091</v>
      </c>
      <c r="M25" s="4" t="str">
        <f t="shared" si="0"/>
        <v>화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4">
        <v>4.92</v>
      </c>
      <c r="F26" s="37"/>
      <c r="G26" s="5">
        <v>4.0999999999999996</v>
      </c>
      <c r="H26" s="5">
        <v>6</v>
      </c>
      <c r="I26" s="5">
        <v>8.2569999999999997</v>
      </c>
      <c r="J26" s="5">
        <v>6.3E-2</v>
      </c>
      <c r="K26" s="5">
        <v>23</v>
      </c>
      <c r="L26" s="8">
        <v>46093</v>
      </c>
      <c r="M26" s="4" t="str">
        <f t="shared" si="0"/>
        <v>목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44">
        <v>7.02</v>
      </c>
      <c r="F27" s="37"/>
      <c r="G27" s="5">
        <v>5</v>
      </c>
      <c r="H27" s="5">
        <v>6.6</v>
      </c>
      <c r="I27" s="5">
        <v>10.286</v>
      </c>
      <c r="J27" s="5">
        <v>9.1999999999999998E-2</v>
      </c>
      <c r="K27" s="5">
        <v>41</v>
      </c>
      <c r="L27" s="8">
        <v>46093</v>
      </c>
      <c r="M27" s="4" t="str">
        <f t="shared" si="0"/>
        <v>목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44">
        <v>10.81</v>
      </c>
      <c r="F28" s="37"/>
      <c r="G28" s="5">
        <v>4.2</v>
      </c>
      <c r="H28" s="5">
        <v>8.6</v>
      </c>
      <c r="I28" s="5">
        <v>7.0810000000000004</v>
      </c>
      <c r="J28" s="5">
        <v>0.13400000000000001</v>
      </c>
      <c r="K28" s="5">
        <v>142</v>
      </c>
      <c r="L28" s="8">
        <v>46093</v>
      </c>
      <c r="M28" s="4" t="str">
        <f t="shared" si="0"/>
        <v>목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44">
        <v>8.67</v>
      </c>
      <c r="F29" s="37"/>
      <c r="G29" s="5">
        <v>5.6</v>
      </c>
      <c r="H29" s="5">
        <v>11.8</v>
      </c>
      <c r="I29" s="5">
        <v>8.5389999999999997</v>
      </c>
      <c r="J29" s="5">
        <v>9.5000000000000001E-2</v>
      </c>
      <c r="K29" s="5">
        <v>89</v>
      </c>
      <c r="L29" s="8">
        <v>46093</v>
      </c>
      <c r="M29" s="4" t="str">
        <f t="shared" si="0"/>
        <v>목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44">
        <v>8.6</v>
      </c>
      <c r="F30" s="37"/>
      <c r="G30" s="5">
        <v>4.9000000000000004</v>
      </c>
      <c r="H30" s="5">
        <v>9.1999999999999993</v>
      </c>
      <c r="I30" s="5">
        <v>11.012</v>
      </c>
      <c r="J30" s="5">
        <v>0.11799999999999999</v>
      </c>
      <c r="K30" s="5">
        <v>50</v>
      </c>
      <c r="L30" s="8">
        <v>46092</v>
      </c>
      <c r="M30" s="4" t="str">
        <f t="shared" si="0"/>
        <v>수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44">
        <v>8.6</v>
      </c>
      <c r="F31" s="37"/>
      <c r="G31" s="5">
        <v>6.8</v>
      </c>
      <c r="H31" s="5">
        <v>11</v>
      </c>
      <c r="I31" s="5">
        <v>10.436999999999999</v>
      </c>
      <c r="J31" s="5">
        <v>0.122</v>
      </c>
      <c r="K31" s="5">
        <v>51</v>
      </c>
      <c r="L31" s="8">
        <v>46092</v>
      </c>
      <c r="M31" s="4" t="str">
        <f t="shared" si="0"/>
        <v>수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44">
        <v>7.3</v>
      </c>
      <c r="F32" s="37"/>
      <c r="G32" s="5">
        <v>4</v>
      </c>
      <c r="H32" s="5">
        <v>8</v>
      </c>
      <c r="I32" s="5">
        <v>10.711</v>
      </c>
      <c r="J32" s="5">
        <v>9.0999999999999998E-2</v>
      </c>
      <c r="K32" s="5">
        <v>49</v>
      </c>
      <c r="L32" s="8">
        <v>46092</v>
      </c>
      <c r="M32" s="4" t="str">
        <f t="shared" si="0"/>
        <v>수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44">
        <v>10.55</v>
      </c>
      <c r="F33" s="37"/>
      <c r="G33" s="5">
        <v>3.3</v>
      </c>
      <c r="H33" s="5">
        <v>3.9</v>
      </c>
      <c r="I33" s="5">
        <v>45.866999999999997</v>
      </c>
      <c r="J33" s="5">
        <v>0.10199999999999999</v>
      </c>
      <c r="K33" s="5">
        <v>23</v>
      </c>
      <c r="L33" s="8">
        <v>46091</v>
      </c>
      <c r="M33" s="4" t="str">
        <f t="shared" si="0"/>
        <v>화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44">
        <v>11.51</v>
      </c>
      <c r="F34" s="37"/>
      <c r="G34" s="5">
        <v>6.6</v>
      </c>
      <c r="H34" s="5">
        <v>7.2</v>
      </c>
      <c r="I34" s="5">
        <v>5.5910000000000002</v>
      </c>
      <c r="J34" s="5">
        <v>0.126</v>
      </c>
      <c r="K34" s="5">
        <v>32</v>
      </c>
      <c r="L34" s="8">
        <v>46091</v>
      </c>
      <c r="M34" s="4" t="str">
        <f t="shared" si="0"/>
        <v>화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44">
        <v>2.7</v>
      </c>
      <c r="F35" s="37"/>
      <c r="G35" s="5">
        <v>2.2000000000000002</v>
      </c>
      <c r="H35" s="5">
        <v>1.2</v>
      </c>
      <c r="I35" s="5">
        <v>3.766</v>
      </c>
      <c r="J35" s="5">
        <v>2.3E-2</v>
      </c>
      <c r="K35" s="5">
        <v>17</v>
      </c>
      <c r="L35" s="8">
        <v>46091</v>
      </c>
      <c r="M35" s="4" t="str">
        <f t="shared" si="0"/>
        <v>화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44">
        <v>4.76</v>
      </c>
      <c r="F36" s="37"/>
      <c r="G36" s="5">
        <v>3.8</v>
      </c>
      <c r="H36" s="5">
        <v>6.2</v>
      </c>
      <c r="I36" s="5">
        <v>4.1379999999999999</v>
      </c>
      <c r="J36" s="5">
        <v>0.152</v>
      </c>
      <c r="K36" s="5">
        <v>26</v>
      </c>
      <c r="L36" s="8">
        <v>46091</v>
      </c>
      <c r="M36" s="4" t="str">
        <f t="shared" si="0"/>
        <v>화</v>
      </c>
      <c r="N36" s="3" t="s">
        <v>107</v>
      </c>
    </row>
    <row r="37" spans="1:14" ht="20.25" customHeight="1" x14ac:dyDescent="0.3">
      <c r="A37" s="2">
        <v>35</v>
      </c>
      <c r="B37" s="48" t="s">
        <v>119</v>
      </c>
      <c r="C37" s="1" t="s">
        <v>98</v>
      </c>
      <c r="D37" s="33" t="s">
        <v>99</v>
      </c>
      <c r="E37" s="44">
        <v>5.43</v>
      </c>
      <c r="F37" s="37"/>
      <c r="G37" s="5">
        <v>2.8</v>
      </c>
      <c r="H37" s="5">
        <v>2.9</v>
      </c>
      <c r="I37" s="5">
        <v>9.4420000000000002</v>
      </c>
      <c r="J37" s="5">
        <v>3.9E-2</v>
      </c>
      <c r="K37" s="5">
        <v>31</v>
      </c>
      <c r="L37" s="8">
        <v>46091</v>
      </c>
      <c r="M37" s="4" t="str">
        <f t="shared" si="0"/>
        <v>화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44">
        <v>3.7</v>
      </c>
      <c r="F38" s="37"/>
      <c r="G38" s="5">
        <v>2.2000000000000002</v>
      </c>
      <c r="H38" s="5">
        <v>186.4</v>
      </c>
      <c r="I38" s="5">
        <v>3.5659999999999998</v>
      </c>
      <c r="J38" s="5">
        <v>0.115</v>
      </c>
      <c r="K38" s="5">
        <v>20</v>
      </c>
      <c r="L38" s="8">
        <v>46091</v>
      </c>
      <c r="M38" s="4" t="str">
        <f t="shared" si="0"/>
        <v>화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44">
        <v>4.8899999999999997</v>
      </c>
      <c r="F39" s="37"/>
      <c r="G39" s="5">
        <v>4.0999999999999996</v>
      </c>
      <c r="H39" s="5">
        <v>8.4</v>
      </c>
      <c r="I39" s="5">
        <v>3.5939999999999999</v>
      </c>
      <c r="J39" s="5">
        <v>0.184</v>
      </c>
      <c r="K39" s="5">
        <v>21</v>
      </c>
      <c r="L39" s="8">
        <v>46093</v>
      </c>
      <c r="M39" s="4" t="str">
        <f t="shared" si="0"/>
        <v>목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794E-528D-4D6D-8DFE-C5067793C091}">
  <sheetPr>
    <tabColor rgb="FF0070C0"/>
  </sheetPr>
  <dimension ref="A1:N40"/>
  <sheetViews>
    <sheetView zoomScaleNormal="100" workbookViewId="0">
      <pane xSplit="3" ySplit="2" topLeftCell="D9" activePane="bottomRight" state="frozen"/>
      <selection pane="topRight" activeCell="D1" sqref="D1"/>
      <selection pane="bottomLeft" activeCell="A3" sqref="A3"/>
      <selection pane="bottomRight" activeCell="M29" sqref="C28:M29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123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5">
        <v>11.9</v>
      </c>
      <c r="F3" s="5">
        <v>15.7</v>
      </c>
      <c r="G3" s="5">
        <v>2.4</v>
      </c>
      <c r="H3" s="5">
        <v>4.8</v>
      </c>
      <c r="I3" s="5">
        <v>8.39</v>
      </c>
      <c r="J3" s="5">
        <v>7.2999999999999995E-2</v>
      </c>
      <c r="K3" s="5">
        <v>16</v>
      </c>
      <c r="L3" s="8">
        <v>46076</v>
      </c>
      <c r="M3" s="4" t="str">
        <f>TEXT(L3,"aaa")</f>
        <v>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5">
        <v>1.8</v>
      </c>
      <c r="F4" s="37"/>
      <c r="G4" s="5">
        <v>0.8</v>
      </c>
      <c r="H4" s="5">
        <v>1.3</v>
      </c>
      <c r="I4" s="5">
        <v>2.7330000000000001</v>
      </c>
      <c r="J4" s="5">
        <v>2.5000000000000001E-2</v>
      </c>
      <c r="K4" s="5">
        <v>18</v>
      </c>
      <c r="L4" s="8">
        <v>46063</v>
      </c>
      <c r="M4" s="4" t="str">
        <f t="shared" ref="M4:M39" si="0">TEXT(L4,"aaa")</f>
        <v>화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5">
        <v>2.2000000000000002</v>
      </c>
      <c r="F5" s="37"/>
      <c r="G5" s="5">
        <v>0.9</v>
      </c>
      <c r="H5" s="5">
        <v>1.5</v>
      </c>
      <c r="I5" s="5">
        <v>3.9409999999999998</v>
      </c>
      <c r="J5" s="5">
        <v>2.7E-2</v>
      </c>
      <c r="K5" s="5">
        <v>18</v>
      </c>
      <c r="L5" s="8">
        <v>46063</v>
      </c>
      <c r="M5" s="4" t="str">
        <f t="shared" si="0"/>
        <v>화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5">
        <v>4.0999999999999996</v>
      </c>
      <c r="F6" s="37"/>
      <c r="G6" s="5">
        <v>1.3</v>
      </c>
      <c r="H6" s="5">
        <v>2.7</v>
      </c>
      <c r="I6" s="5">
        <v>8.2140000000000004</v>
      </c>
      <c r="J6" s="5">
        <v>5.0999999999999997E-2</v>
      </c>
      <c r="K6" s="5">
        <v>23</v>
      </c>
      <c r="L6" s="8">
        <v>46063</v>
      </c>
      <c r="M6" s="4" t="str">
        <f t="shared" si="0"/>
        <v>화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5">
        <v>3.3</v>
      </c>
      <c r="F7" s="37"/>
      <c r="G7" s="5">
        <v>1.9</v>
      </c>
      <c r="H7" s="5">
        <v>1.5</v>
      </c>
      <c r="I7" s="5">
        <v>7.8570000000000002</v>
      </c>
      <c r="J7" s="5">
        <v>4.2999999999999997E-2</v>
      </c>
      <c r="K7" s="5">
        <v>17</v>
      </c>
      <c r="L7" s="8">
        <v>46076</v>
      </c>
      <c r="M7" s="4" t="str">
        <f t="shared" si="0"/>
        <v>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5">
        <v>3.3</v>
      </c>
      <c r="F8" s="5">
        <v>4.4000000000000004</v>
      </c>
      <c r="G8" s="5">
        <v>2.1</v>
      </c>
      <c r="H8" s="5">
        <v>1.6</v>
      </c>
      <c r="I8" s="5">
        <v>7.7329999999999997</v>
      </c>
      <c r="J8" s="5">
        <v>0.05</v>
      </c>
      <c r="K8" s="5">
        <v>17</v>
      </c>
      <c r="L8" s="8">
        <v>46076</v>
      </c>
      <c r="M8" s="4" t="str">
        <f t="shared" si="0"/>
        <v>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5">
        <v>3.4</v>
      </c>
      <c r="F9" s="37"/>
      <c r="G9" s="5">
        <v>2.2000000000000002</v>
      </c>
      <c r="H9" s="5">
        <v>1.5</v>
      </c>
      <c r="I9" s="5">
        <v>7.6669999999999998</v>
      </c>
      <c r="J9" s="5">
        <v>4.4999999999999998E-2</v>
      </c>
      <c r="K9" s="5">
        <v>19</v>
      </c>
      <c r="L9" s="8">
        <v>46076</v>
      </c>
      <c r="M9" s="4" t="str">
        <f t="shared" si="0"/>
        <v>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5">
        <v>6.3</v>
      </c>
      <c r="F10" s="37"/>
      <c r="G10" s="5">
        <v>2.2000000000000002</v>
      </c>
      <c r="H10" s="5">
        <v>4.3</v>
      </c>
      <c r="I10" s="5">
        <v>9.4779999999999998</v>
      </c>
      <c r="J10" s="5">
        <v>3.7999999999999999E-2</v>
      </c>
      <c r="K10" s="5">
        <v>38</v>
      </c>
      <c r="L10" s="8">
        <v>46076</v>
      </c>
      <c r="M10" s="4" t="str">
        <f t="shared" si="0"/>
        <v>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5">
        <v>5.0999999999999996</v>
      </c>
      <c r="F11" s="37"/>
      <c r="G11" s="5">
        <v>2.1</v>
      </c>
      <c r="H11" s="5">
        <v>6</v>
      </c>
      <c r="I11" s="5">
        <v>9.5039999999999996</v>
      </c>
      <c r="J11" s="5">
        <v>3.9E-2</v>
      </c>
      <c r="K11" s="5">
        <v>36</v>
      </c>
      <c r="L11" s="8">
        <v>46076</v>
      </c>
      <c r="M11" s="4" t="str">
        <f t="shared" si="0"/>
        <v>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5">
        <v>2.1</v>
      </c>
      <c r="F12" s="5">
        <v>4</v>
      </c>
      <c r="G12" s="5">
        <v>1.2</v>
      </c>
      <c r="H12" s="5">
        <v>0.8</v>
      </c>
      <c r="I12" s="5">
        <v>7.806</v>
      </c>
      <c r="J12" s="5">
        <v>4.7E-2</v>
      </c>
      <c r="K12" s="5">
        <v>14</v>
      </c>
      <c r="L12" s="8">
        <v>46076</v>
      </c>
      <c r="M12" s="4" t="str">
        <f t="shared" si="0"/>
        <v>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5">
        <v>2</v>
      </c>
      <c r="F13" s="37"/>
      <c r="G13" s="5">
        <v>1.1000000000000001</v>
      </c>
      <c r="H13" s="5">
        <v>1.2</v>
      </c>
      <c r="I13" s="5">
        <v>7.83</v>
      </c>
      <c r="J13" s="5">
        <v>4.3999999999999997E-2</v>
      </c>
      <c r="K13" s="5">
        <v>19</v>
      </c>
      <c r="L13" s="8">
        <v>46076</v>
      </c>
      <c r="M13" s="4" t="str">
        <f t="shared" si="0"/>
        <v>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5">
        <v>2</v>
      </c>
      <c r="F14" s="37"/>
      <c r="G14" s="5">
        <v>1</v>
      </c>
      <c r="H14" s="5">
        <v>0.9</v>
      </c>
      <c r="I14" s="5">
        <v>7.8719999999999999</v>
      </c>
      <c r="J14" s="5">
        <v>4.2000000000000003E-2</v>
      </c>
      <c r="K14" s="5">
        <v>17</v>
      </c>
      <c r="L14" s="8">
        <v>46076</v>
      </c>
      <c r="M14" s="4" t="str">
        <f t="shared" si="0"/>
        <v>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5">
        <v>2</v>
      </c>
      <c r="F15" s="37"/>
      <c r="G15" s="5">
        <v>1.4</v>
      </c>
      <c r="H15" s="5">
        <v>0.9</v>
      </c>
      <c r="I15" s="5">
        <v>7.6970000000000001</v>
      </c>
      <c r="J15" s="5">
        <v>4.2000000000000003E-2</v>
      </c>
      <c r="K15" s="5">
        <v>16</v>
      </c>
      <c r="L15" s="8">
        <v>46076</v>
      </c>
      <c r="M15" s="4" t="str">
        <f t="shared" si="0"/>
        <v>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5">
        <v>2</v>
      </c>
      <c r="F16" s="37"/>
      <c r="G16" s="5">
        <v>1.3</v>
      </c>
      <c r="H16" s="5">
        <v>0.9</v>
      </c>
      <c r="I16" s="5">
        <v>7.5350000000000001</v>
      </c>
      <c r="J16" s="5">
        <v>4.5999999999999999E-2</v>
      </c>
      <c r="K16" s="5">
        <v>16</v>
      </c>
      <c r="L16" s="8">
        <v>46076</v>
      </c>
      <c r="M16" s="4" t="str">
        <f t="shared" si="0"/>
        <v>월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5">
        <v>7.1</v>
      </c>
      <c r="F17" s="37"/>
      <c r="G17" s="5">
        <v>2.8</v>
      </c>
      <c r="H17" s="5">
        <v>1.6</v>
      </c>
      <c r="I17" s="5">
        <v>36.276000000000003</v>
      </c>
      <c r="J17" s="5">
        <v>5.8999999999999997E-2</v>
      </c>
      <c r="K17" s="5">
        <v>74</v>
      </c>
      <c r="L17" s="8">
        <v>46076</v>
      </c>
      <c r="M17" s="4" t="str">
        <f t="shared" si="0"/>
        <v>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5">
        <v>7.1</v>
      </c>
      <c r="F18" s="37"/>
      <c r="G18" s="5">
        <v>3.2</v>
      </c>
      <c r="H18" s="5">
        <v>2</v>
      </c>
      <c r="I18" s="5">
        <v>35.667999999999999</v>
      </c>
      <c r="J18" s="5">
        <v>0.06</v>
      </c>
      <c r="K18" s="5">
        <v>73</v>
      </c>
      <c r="L18" s="8">
        <v>46076</v>
      </c>
      <c r="M18" s="4" t="str">
        <f t="shared" si="0"/>
        <v>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5">
        <v>4.7</v>
      </c>
      <c r="F19" s="5">
        <v>7.1</v>
      </c>
      <c r="G19" s="5">
        <v>1.7</v>
      </c>
      <c r="H19" s="5">
        <v>1</v>
      </c>
      <c r="I19" s="5">
        <v>8.2409999999999997</v>
      </c>
      <c r="J19" s="5">
        <v>7.8E-2</v>
      </c>
      <c r="K19" s="5">
        <v>16</v>
      </c>
      <c r="L19" s="8">
        <v>46076</v>
      </c>
      <c r="M19" s="4" t="str">
        <f t="shared" si="0"/>
        <v>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5">
        <v>4.4000000000000004</v>
      </c>
      <c r="F20" s="37"/>
      <c r="G20" s="5">
        <v>2.2999999999999998</v>
      </c>
      <c r="H20" s="5">
        <v>2.5</v>
      </c>
      <c r="I20" s="5">
        <v>6.8689999999999998</v>
      </c>
      <c r="J20" s="5">
        <v>9.2999999999999999E-2</v>
      </c>
      <c r="K20" s="5">
        <v>9</v>
      </c>
      <c r="L20" s="8">
        <v>46076</v>
      </c>
      <c r="M20" s="4" t="str">
        <f t="shared" si="0"/>
        <v>월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5">
        <v>3.2</v>
      </c>
      <c r="F21" s="37"/>
      <c r="G21" s="5">
        <v>2.2999999999999998</v>
      </c>
      <c r="H21" s="5">
        <v>4</v>
      </c>
      <c r="I21" s="5">
        <v>10.138999999999999</v>
      </c>
      <c r="J21" s="5">
        <v>0.11799999999999999</v>
      </c>
      <c r="K21" s="5">
        <v>12</v>
      </c>
      <c r="L21" s="8">
        <v>46076</v>
      </c>
      <c r="M21" s="4" t="str">
        <f t="shared" si="0"/>
        <v>월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5">
        <v>3.9</v>
      </c>
      <c r="F22" s="37"/>
      <c r="G22" s="5">
        <v>2.5</v>
      </c>
      <c r="H22" s="5">
        <v>2.7</v>
      </c>
      <c r="I22" s="5">
        <v>7.9939999999999998</v>
      </c>
      <c r="J22" s="5">
        <v>8.1000000000000003E-2</v>
      </c>
      <c r="K22" s="36">
        <v>14</v>
      </c>
      <c r="L22" s="8">
        <v>46076</v>
      </c>
      <c r="M22" s="4" t="str">
        <f t="shared" si="0"/>
        <v>월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5">
        <v>4.9000000000000004</v>
      </c>
      <c r="F23" s="37"/>
      <c r="G23" s="5">
        <v>2.4</v>
      </c>
      <c r="H23" s="5">
        <v>2.6</v>
      </c>
      <c r="I23" s="5">
        <v>9.4619999999999997</v>
      </c>
      <c r="J23" s="5">
        <v>6.4000000000000001E-2</v>
      </c>
      <c r="K23" s="5">
        <v>21</v>
      </c>
      <c r="L23" s="8">
        <v>46076</v>
      </c>
      <c r="M23" s="4" t="str">
        <f t="shared" si="0"/>
        <v>월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5">
        <v>3.2</v>
      </c>
      <c r="F24" s="5">
        <v>6.4</v>
      </c>
      <c r="G24" s="5">
        <v>2.1</v>
      </c>
      <c r="H24" s="5">
        <v>9.1999999999999993</v>
      </c>
      <c r="I24" s="5">
        <v>8.0440000000000005</v>
      </c>
      <c r="J24" s="5">
        <v>6.4000000000000001E-2</v>
      </c>
      <c r="K24" s="5">
        <v>13</v>
      </c>
      <c r="L24" s="8">
        <v>46076</v>
      </c>
      <c r="M24" s="4" t="str">
        <f t="shared" si="0"/>
        <v>월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5">
        <v>5.0999999999999996</v>
      </c>
      <c r="F25" s="37"/>
      <c r="G25" s="5">
        <v>2.1</v>
      </c>
      <c r="H25" s="5">
        <v>8.1999999999999993</v>
      </c>
      <c r="I25" s="5">
        <v>8.1300000000000008</v>
      </c>
      <c r="J25" s="5">
        <v>5.6000000000000001E-2</v>
      </c>
      <c r="K25" s="36">
        <v>14</v>
      </c>
      <c r="L25" s="8">
        <v>46076</v>
      </c>
      <c r="M25" s="4" t="str">
        <f t="shared" si="0"/>
        <v>월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4">
        <v>4.5</v>
      </c>
      <c r="F26" s="37"/>
      <c r="G26" s="37">
        <v>2.1</v>
      </c>
      <c r="H26" s="37">
        <v>2.4</v>
      </c>
      <c r="I26" s="5">
        <v>9.3260000000000005</v>
      </c>
      <c r="J26" s="5">
        <v>0.06</v>
      </c>
      <c r="K26" s="5">
        <v>22</v>
      </c>
      <c r="L26" s="8">
        <v>46062</v>
      </c>
      <c r="M26" s="4" t="str">
        <f t="shared" si="0"/>
        <v>월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5">
        <v>6.3</v>
      </c>
      <c r="F27" s="37"/>
      <c r="G27" s="5">
        <v>3.9</v>
      </c>
      <c r="H27" s="5">
        <v>4</v>
      </c>
      <c r="I27" s="5">
        <v>12.374000000000001</v>
      </c>
      <c r="J27" s="5">
        <v>0.09</v>
      </c>
      <c r="K27" s="5">
        <v>27</v>
      </c>
      <c r="L27" s="8">
        <v>46062</v>
      </c>
      <c r="M27" s="4" t="str">
        <f t="shared" si="0"/>
        <v>월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5">
        <v>7.5</v>
      </c>
      <c r="F28" s="37"/>
      <c r="G28" s="5">
        <v>2.5</v>
      </c>
      <c r="H28" s="5">
        <v>7</v>
      </c>
      <c r="I28" s="5">
        <v>15.388999999999999</v>
      </c>
      <c r="J28" s="5">
        <v>0.10299999999999999</v>
      </c>
      <c r="K28" s="5">
        <v>64</v>
      </c>
      <c r="L28" s="8">
        <v>46062</v>
      </c>
      <c r="M28" s="4" t="str">
        <f t="shared" si="0"/>
        <v>월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5">
        <v>6.9</v>
      </c>
      <c r="F29" s="37"/>
      <c r="G29" s="5">
        <v>3</v>
      </c>
      <c r="H29" s="5">
        <v>4</v>
      </c>
      <c r="I29" s="5">
        <v>13.372999999999999</v>
      </c>
      <c r="J29" s="5">
        <v>8.2000000000000003E-2</v>
      </c>
      <c r="K29" s="5">
        <v>52</v>
      </c>
      <c r="L29" s="8">
        <v>46062</v>
      </c>
      <c r="M29" s="4" t="str">
        <f t="shared" si="0"/>
        <v>월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5">
        <v>8.5</v>
      </c>
      <c r="F30" s="37"/>
      <c r="G30" s="5">
        <v>2.7</v>
      </c>
      <c r="H30" s="5">
        <v>8.6</v>
      </c>
      <c r="I30" s="5">
        <v>14.195</v>
      </c>
      <c r="J30" s="5">
        <v>0.14199999999999999</v>
      </c>
      <c r="K30" s="5">
        <v>45</v>
      </c>
      <c r="L30" s="8">
        <v>46063</v>
      </c>
      <c r="M30" s="4" t="str">
        <f t="shared" si="0"/>
        <v>화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5">
        <v>8.1999999999999993</v>
      </c>
      <c r="F31" s="37"/>
      <c r="G31" s="5">
        <v>2.5</v>
      </c>
      <c r="H31" s="5">
        <v>8.8000000000000007</v>
      </c>
      <c r="I31" s="5">
        <v>13.593999999999999</v>
      </c>
      <c r="J31" s="5">
        <v>0.13100000000000001</v>
      </c>
      <c r="K31" s="5">
        <v>46</v>
      </c>
      <c r="L31" s="8">
        <v>46063</v>
      </c>
      <c r="M31" s="4" t="str">
        <f t="shared" si="0"/>
        <v>화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5">
        <v>6.5</v>
      </c>
      <c r="F32" s="37"/>
      <c r="G32" s="5">
        <v>2.5</v>
      </c>
      <c r="H32" s="5">
        <v>5.6</v>
      </c>
      <c r="I32" s="5">
        <v>13.077999999999999</v>
      </c>
      <c r="J32" s="5">
        <v>0.106</v>
      </c>
      <c r="K32" s="5">
        <v>42</v>
      </c>
      <c r="L32" s="8">
        <v>46063</v>
      </c>
      <c r="M32" s="4" t="str">
        <f t="shared" si="0"/>
        <v>화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5">
        <v>6.7</v>
      </c>
      <c r="F33" s="37"/>
      <c r="G33" s="5">
        <v>2.7</v>
      </c>
      <c r="H33" s="5">
        <v>6.8</v>
      </c>
      <c r="I33" s="5">
        <v>25.173999999999999</v>
      </c>
      <c r="J33" s="5">
        <v>5.1999999999999998E-2</v>
      </c>
      <c r="K33" s="5">
        <v>13</v>
      </c>
      <c r="L33" s="8">
        <v>46076</v>
      </c>
      <c r="M33" s="4" t="str">
        <f t="shared" si="0"/>
        <v>월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5">
        <v>4.7</v>
      </c>
      <c r="F34" s="37"/>
      <c r="G34" s="5">
        <v>3.8</v>
      </c>
      <c r="H34" s="5">
        <v>8</v>
      </c>
      <c r="I34" s="5">
        <v>6.5170000000000003</v>
      </c>
      <c r="J34" s="5">
        <v>0.109</v>
      </c>
      <c r="K34" s="36">
        <v>13</v>
      </c>
      <c r="L34" s="8">
        <v>46076</v>
      </c>
      <c r="M34" s="4" t="str">
        <f t="shared" si="0"/>
        <v>월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5">
        <v>3.5</v>
      </c>
      <c r="F35" s="37"/>
      <c r="G35" s="5">
        <v>2.2999999999999998</v>
      </c>
      <c r="H35" s="5">
        <v>1.1000000000000001</v>
      </c>
      <c r="I35" s="5">
        <v>3.4049999999999998</v>
      </c>
      <c r="J35" s="5">
        <v>2.8000000000000001E-2</v>
      </c>
      <c r="K35" s="5">
        <v>8</v>
      </c>
      <c r="L35" s="8">
        <v>46076</v>
      </c>
      <c r="M35" s="4" t="str">
        <f t="shared" si="0"/>
        <v>월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5">
        <v>5.6</v>
      </c>
      <c r="F36" s="37"/>
      <c r="G36" s="5">
        <v>4</v>
      </c>
      <c r="H36" s="5">
        <v>4.8</v>
      </c>
      <c r="I36" s="5">
        <v>3.98</v>
      </c>
      <c r="J36" s="5">
        <v>0.152</v>
      </c>
      <c r="K36" s="5">
        <v>10</v>
      </c>
      <c r="L36" s="8">
        <v>46076</v>
      </c>
      <c r="M36" s="4" t="str">
        <f t="shared" si="0"/>
        <v>월</v>
      </c>
      <c r="N36" s="3" t="s">
        <v>107</v>
      </c>
    </row>
    <row r="37" spans="1:14" ht="20.25" customHeight="1" x14ac:dyDescent="0.3">
      <c r="A37" s="2">
        <v>35</v>
      </c>
      <c r="B37" s="43" t="s">
        <v>119</v>
      </c>
      <c r="C37" s="1" t="s">
        <v>98</v>
      </c>
      <c r="D37" s="33" t="s">
        <v>99</v>
      </c>
      <c r="E37" s="5">
        <v>5</v>
      </c>
      <c r="F37" s="37"/>
      <c r="G37" s="5">
        <v>2.2999999999999998</v>
      </c>
      <c r="H37" s="5">
        <v>0.9</v>
      </c>
      <c r="I37" s="5">
        <v>12.12</v>
      </c>
      <c r="J37" s="5">
        <v>1.7000000000000001E-2</v>
      </c>
      <c r="K37" s="5">
        <v>15</v>
      </c>
      <c r="L37" s="8">
        <v>46076</v>
      </c>
      <c r="M37" s="4" t="str">
        <f t="shared" si="0"/>
        <v>월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5">
        <v>2.7</v>
      </c>
      <c r="F38" s="37"/>
      <c r="G38" s="5">
        <v>1.7</v>
      </c>
      <c r="H38" s="5">
        <v>12</v>
      </c>
      <c r="I38" s="5">
        <v>3.6040000000000001</v>
      </c>
      <c r="J38" s="5">
        <v>6.0999999999999999E-2</v>
      </c>
      <c r="K38" s="5">
        <v>8</v>
      </c>
      <c r="L38" s="8">
        <v>46076</v>
      </c>
      <c r="M38" s="4" t="str">
        <f t="shared" si="0"/>
        <v>월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5">
        <v>3.7</v>
      </c>
      <c r="F39" s="37"/>
      <c r="G39" s="5">
        <v>2.8</v>
      </c>
      <c r="H39" s="5">
        <v>3.6</v>
      </c>
      <c r="I39" s="5">
        <v>7.968</v>
      </c>
      <c r="J39" s="5">
        <v>7.2999999999999995E-2</v>
      </c>
      <c r="K39" s="5">
        <v>18</v>
      </c>
      <c r="L39" s="8">
        <v>46062</v>
      </c>
      <c r="M39" s="4" t="str">
        <f t="shared" si="0"/>
        <v>월</v>
      </c>
    </row>
    <row r="40" spans="1:14" ht="20.25" customHeight="1" x14ac:dyDescent="0.3"/>
  </sheetData>
  <autoFilter ref="A2:M39" xr:uid="{00000000-0009-0000-0000-00000C000000}"/>
  <mergeCells count="6">
    <mergeCell ref="B20:B32"/>
    <mergeCell ref="A1:K1"/>
    <mergeCell ref="B3:B6"/>
    <mergeCell ref="B7:B9"/>
    <mergeCell ref="B12:B16"/>
    <mergeCell ref="B17:B18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N40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6" sqref="K6"/>
    </sheetView>
  </sheetViews>
  <sheetFormatPr defaultRowHeight="14.25" x14ac:dyDescent="0.3"/>
  <cols>
    <col min="1" max="1" width="4.75" style="3" bestFit="1" customWidth="1"/>
    <col min="2" max="2" width="9.125" style="3" customWidth="1"/>
    <col min="3" max="3" width="14.875" style="3" customWidth="1"/>
    <col min="4" max="4" width="44" style="3" bestFit="1" customWidth="1"/>
    <col min="5" max="5" width="6.375" style="3" customWidth="1"/>
    <col min="6" max="6" width="9" style="3" customWidth="1"/>
    <col min="7" max="8" width="9" style="3"/>
    <col min="9" max="9" width="9.875" style="3" bestFit="1" customWidth="1"/>
    <col min="10" max="11" width="9" style="3"/>
    <col min="12" max="12" width="11.125" style="3" bestFit="1" customWidth="1"/>
    <col min="13" max="13" width="7.625" style="3" customWidth="1"/>
    <col min="14" max="16384" width="9" style="3"/>
  </cols>
  <sheetData>
    <row r="1" spans="1:13" ht="35.25" customHeight="1" x14ac:dyDescent="0.3">
      <c r="A1" s="107" t="s">
        <v>101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3" ht="25.5" customHeight="1" x14ac:dyDescent="0.3">
      <c r="A2" s="26" t="s">
        <v>33</v>
      </c>
      <c r="B2" s="27" t="s">
        <v>34</v>
      </c>
      <c r="C2" s="27" t="s">
        <v>0</v>
      </c>
      <c r="D2" s="28" t="s">
        <v>1</v>
      </c>
      <c r="E2" s="29" t="s">
        <v>2</v>
      </c>
      <c r="F2" s="29" t="s">
        <v>44</v>
      </c>
      <c r="G2" s="30" t="s">
        <v>3</v>
      </c>
      <c r="H2" s="30" t="s">
        <v>4</v>
      </c>
      <c r="I2" s="29" t="s">
        <v>5</v>
      </c>
      <c r="J2" s="31" t="s">
        <v>6</v>
      </c>
      <c r="K2" s="32" t="s">
        <v>7</v>
      </c>
      <c r="L2" s="4" t="s">
        <v>45</v>
      </c>
      <c r="M2" s="4" t="s">
        <v>67</v>
      </c>
    </row>
    <row r="3" spans="1:13" ht="20.25" customHeight="1" x14ac:dyDescent="0.3">
      <c r="A3" s="2">
        <v>1</v>
      </c>
      <c r="B3" s="108" t="s">
        <v>66</v>
      </c>
      <c r="C3" s="1" t="s">
        <v>38</v>
      </c>
      <c r="D3" s="33" t="s">
        <v>46</v>
      </c>
      <c r="E3" s="44">
        <v>2.5</v>
      </c>
      <c r="F3" s="5">
        <v>5</v>
      </c>
      <c r="G3" s="5">
        <v>1.5</v>
      </c>
      <c r="H3" s="5">
        <v>2.9</v>
      </c>
      <c r="I3" s="5">
        <v>9.6359999999999992</v>
      </c>
      <c r="J3" s="5">
        <v>0.16900000000000001</v>
      </c>
      <c r="K3" s="5">
        <v>24</v>
      </c>
      <c r="L3" s="8">
        <v>46048</v>
      </c>
      <c r="M3" s="4" t="str">
        <f>TEXT(L3,"aaa")</f>
        <v>월</v>
      </c>
    </row>
    <row r="4" spans="1:13" ht="20.25" customHeight="1" x14ac:dyDescent="0.3">
      <c r="A4" s="2">
        <v>2</v>
      </c>
      <c r="B4" s="109"/>
      <c r="C4" s="1" t="s">
        <v>8</v>
      </c>
      <c r="D4" s="33" t="s">
        <v>47</v>
      </c>
      <c r="E4" s="44">
        <v>1.9</v>
      </c>
      <c r="F4" s="37"/>
      <c r="G4" s="5">
        <v>1</v>
      </c>
      <c r="H4" s="5">
        <v>1.5</v>
      </c>
      <c r="I4" s="5">
        <v>3.0470000000000002</v>
      </c>
      <c r="J4" s="5">
        <v>1.0999999999999999E-2</v>
      </c>
      <c r="K4" s="5">
        <v>8</v>
      </c>
      <c r="L4" s="8">
        <v>46029</v>
      </c>
      <c r="M4" s="4" t="str">
        <f t="shared" ref="M4:M6" si="0">TEXT(L4,"aaa")</f>
        <v>수</v>
      </c>
    </row>
    <row r="5" spans="1:13" ht="20.25" customHeight="1" x14ac:dyDescent="0.3">
      <c r="A5" s="2">
        <v>3</v>
      </c>
      <c r="B5" s="109"/>
      <c r="C5" s="1" t="s">
        <v>9</v>
      </c>
      <c r="D5" s="33" t="s">
        <v>48</v>
      </c>
      <c r="E5" s="44">
        <v>2.2999999999999998</v>
      </c>
      <c r="F5" s="37"/>
      <c r="G5" s="5">
        <v>1.2</v>
      </c>
      <c r="H5" s="5">
        <v>0.9</v>
      </c>
      <c r="I5" s="5">
        <v>4.7229999999999999</v>
      </c>
      <c r="J5" s="5">
        <v>1.4E-2</v>
      </c>
      <c r="K5" s="5">
        <v>6</v>
      </c>
      <c r="L5" s="8">
        <v>46029</v>
      </c>
      <c r="M5" s="4" t="str">
        <f t="shared" si="0"/>
        <v>수</v>
      </c>
    </row>
    <row r="6" spans="1:13" ht="20.25" customHeight="1" x14ac:dyDescent="0.3">
      <c r="A6" s="2">
        <v>4</v>
      </c>
      <c r="B6" s="110"/>
      <c r="C6" s="1" t="s">
        <v>10</v>
      </c>
      <c r="D6" s="33" t="s">
        <v>97</v>
      </c>
      <c r="E6" s="44">
        <v>2.2999999999999998</v>
      </c>
      <c r="F6" s="37"/>
      <c r="G6" s="5">
        <v>1.5</v>
      </c>
      <c r="H6" s="5">
        <v>0.8</v>
      </c>
      <c r="I6" s="5">
        <v>4.9589999999999996</v>
      </c>
      <c r="J6" s="5">
        <v>1.9E-2</v>
      </c>
      <c r="K6" s="5">
        <v>10</v>
      </c>
      <c r="L6" s="8">
        <v>46029</v>
      </c>
      <c r="M6" s="4" t="str">
        <f t="shared" si="0"/>
        <v>수</v>
      </c>
    </row>
    <row r="7" spans="1:13" ht="20.25" customHeight="1" x14ac:dyDescent="0.3">
      <c r="A7" s="2">
        <v>5</v>
      </c>
      <c r="B7" s="108" t="s">
        <v>108</v>
      </c>
      <c r="C7" s="1" t="s">
        <v>39</v>
      </c>
      <c r="D7" s="33" t="s">
        <v>49</v>
      </c>
      <c r="E7" s="44">
        <v>2.2999999999999998</v>
      </c>
      <c r="F7" s="37"/>
      <c r="G7" s="5">
        <v>1.3</v>
      </c>
      <c r="H7" s="5">
        <v>0.9</v>
      </c>
      <c r="I7" s="5">
        <v>10.672000000000001</v>
      </c>
      <c r="J7" s="5">
        <v>5.5E-2</v>
      </c>
      <c r="K7" s="5">
        <v>10</v>
      </c>
      <c r="L7" s="8">
        <v>46048</v>
      </c>
      <c r="M7" s="4" t="str">
        <f t="shared" ref="M7:M39" si="1">TEXT(L7,"aaa")</f>
        <v>월</v>
      </c>
    </row>
    <row r="8" spans="1:13" ht="20.25" customHeight="1" x14ac:dyDescent="0.3">
      <c r="A8" s="2">
        <v>6</v>
      </c>
      <c r="B8" s="109"/>
      <c r="C8" s="1" t="s">
        <v>11</v>
      </c>
      <c r="D8" s="33" t="s">
        <v>96</v>
      </c>
      <c r="E8" s="44">
        <v>2.5</v>
      </c>
      <c r="F8" s="5">
        <v>3.1</v>
      </c>
      <c r="G8" s="5">
        <v>1.5</v>
      </c>
      <c r="H8" s="5">
        <v>0.8</v>
      </c>
      <c r="I8" s="5">
        <v>10.502000000000001</v>
      </c>
      <c r="J8" s="5">
        <v>0.06</v>
      </c>
      <c r="K8" s="5">
        <v>8</v>
      </c>
      <c r="L8" s="8">
        <v>46048</v>
      </c>
      <c r="M8" s="4" t="str">
        <f t="shared" si="1"/>
        <v>월</v>
      </c>
    </row>
    <row r="9" spans="1:13" ht="20.25" customHeight="1" x14ac:dyDescent="0.3">
      <c r="A9" s="2">
        <v>7</v>
      </c>
      <c r="B9" s="110"/>
      <c r="C9" s="1" t="s">
        <v>12</v>
      </c>
      <c r="D9" s="33" t="s">
        <v>50</v>
      </c>
      <c r="E9" s="44">
        <v>2.4</v>
      </c>
      <c r="F9" s="37"/>
      <c r="G9" s="5">
        <v>1.7</v>
      </c>
      <c r="H9" s="5">
        <v>1.2</v>
      </c>
      <c r="I9" s="5">
        <v>10.544</v>
      </c>
      <c r="J9" s="5">
        <v>5.8000000000000003E-2</v>
      </c>
      <c r="K9" s="5">
        <v>24</v>
      </c>
      <c r="L9" s="8">
        <v>46048</v>
      </c>
      <c r="M9" s="4" t="str">
        <f t="shared" si="1"/>
        <v>월</v>
      </c>
    </row>
    <row r="10" spans="1:13" ht="20.25" customHeight="1" x14ac:dyDescent="0.3">
      <c r="A10" s="2">
        <v>8</v>
      </c>
      <c r="B10" s="1" t="s">
        <v>109</v>
      </c>
      <c r="C10" s="1" t="s">
        <v>35</v>
      </c>
      <c r="D10" s="33" t="s">
        <v>51</v>
      </c>
      <c r="E10" s="44">
        <v>4.3</v>
      </c>
      <c r="F10" s="37"/>
      <c r="G10" s="5">
        <v>2.2999999999999998</v>
      </c>
      <c r="H10" s="5">
        <v>4.7</v>
      </c>
      <c r="I10" s="5">
        <v>10.691000000000001</v>
      </c>
      <c r="J10" s="5">
        <v>0.03</v>
      </c>
      <c r="K10" s="5">
        <v>19</v>
      </c>
      <c r="L10" s="8">
        <v>46048</v>
      </c>
      <c r="M10" s="4" t="str">
        <f t="shared" si="1"/>
        <v>월</v>
      </c>
    </row>
    <row r="11" spans="1:13" ht="20.25" customHeight="1" x14ac:dyDescent="0.3">
      <c r="A11" s="2">
        <v>9</v>
      </c>
      <c r="B11" s="1" t="s">
        <v>110</v>
      </c>
      <c r="C11" s="1" t="s">
        <v>65</v>
      </c>
      <c r="D11" s="33" t="s">
        <v>85</v>
      </c>
      <c r="E11" s="44">
        <v>4.2</v>
      </c>
      <c r="F11" s="37"/>
      <c r="G11" s="5">
        <v>2.8</v>
      </c>
      <c r="H11" s="5">
        <v>4.5</v>
      </c>
      <c r="I11" s="5">
        <v>10.587</v>
      </c>
      <c r="J11" s="5">
        <v>2.8000000000000001E-2</v>
      </c>
      <c r="K11" s="5">
        <v>18</v>
      </c>
      <c r="L11" s="8">
        <v>46048</v>
      </c>
      <c r="M11" s="4" t="str">
        <f t="shared" si="1"/>
        <v>월</v>
      </c>
    </row>
    <row r="12" spans="1:13" ht="20.25" customHeight="1" x14ac:dyDescent="0.3">
      <c r="A12" s="2">
        <v>10</v>
      </c>
      <c r="B12" s="108" t="s">
        <v>111</v>
      </c>
      <c r="C12" s="1" t="s">
        <v>40</v>
      </c>
      <c r="D12" s="33" t="s">
        <v>52</v>
      </c>
      <c r="E12" s="44">
        <v>2.7</v>
      </c>
      <c r="F12" s="5">
        <v>3.1</v>
      </c>
      <c r="G12" s="5">
        <v>1.7</v>
      </c>
      <c r="H12" s="5">
        <v>1.3</v>
      </c>
      <c r="I12" s="5">
        <v>8.6349999999999998</v>
      </c>
      <c r="J12" s="5">
        <v>8.5999999999999993E-2</v>
      </c>
      <c r="K12" s="5">
        <v>12</v>
      </c>
      <c r="L12" s="8">
        <v>46048</v>
      </c>
      <c r="M12" s="4" t="str">
        <f t="shared" si="1"/>
        <v>월</v>
      </c>
    </row>
    <row r="13" spans="1:13" ht="20.25" customHeight="1" x14ac:dyDescent="0.3">
      <c r="A13" s="2">
        <v>11</v>
      </c>
      <c r="B13" s="109"/>
      <c r="C13" s="1" t="s">
        <v>13</v>
      </c>
      <c r="D13" s="33" t="s">
        <v>53</v>
      </c>
      <c r="E13" s="44">
        <v>2.5</v>
      </c>
      <c r="F13" s="37"/>
      <c r="G13" s="5">
        <v>1.4</v>
      </c>
      <c r="H13" s="5">
        <v>1.3</v>
      </c>
      <c r="I13" s="5">
        <v>8.7829999999999995</v>
      </c>
      <c r="J13" s="5">
        <v>8.7999999999999995E-2</v>
      </c>
      <c r="K13" s="5">
        <v>23</v>
      </c>
      <c r="L13" s="8">
        <v>46048</v>
      </c>
      <c r="M13" s="4" t="str">
        <f t="shared" si="1"/>
        <v>월</v>
      </c>
    </row>
    <row r="14" spans="1:13" ht="20.25" customHeight="1" x14ac:dyDescent="0.3">
      <c r="A14" s="2">
        <v>12</v>
      </c>
      <c r="B14" s="109"/>
      <c r="C14" s="1" t="s">
        <v>14</v>
      </c>
      <c r="D14" s="33" t="s">
        <v>54</v>
      </c>
      <c r="E14" s="44">
        <v>2.5</v>
      </c>
      <c r="F14" s="37"/>
      <c r="G14" s="5">
        <v>1.9</v>
      </c>
      <c r="H14" s="5">
        <v>1.6</v>
      </c>
      <c r="I14" s="5">
        <v>9.0090000000000003</v>
      </c>
      <c r="J14" s="5">
        <v>8.4000000000000005E-2</v>
      </c>
      <c r="K14" s="5">
        <v>14</v>
      </c>
      <c r="L14" s="8">
        <v>46048</v>
      </c>
      <c r="M14" s="4" t="str">
        <f t="shared" si="1"/>
        <v>월</v>
      </c>
    </row>
    <row r="15" spans="1:13" ht="20.25" customHeight="1" x14ac:dyDescent="0.3">
      <c r="A15" s="2">
        <v>13</v>
      </c>
      <c r="B15" s="109"/>
      <c r="C15" s="1" t="s">
        <v>15</v>
      </c>
      <c r="D15" s="33" t="s">
        <v>55</v>
      </c>
      <c r="E15" s="44">
        <v>2.5</v>
      </c>
      <c r="F15" s="37"/>
      <c r="G15" s="5">
        <v>1.4</v>
      </c>
      <c r="H15" s="5">
        <v>1.5</v>
      </c>
      <c r="I15" s="5">
        <v>8.7349999999999994</v>
      </c>
      <c r="J15" s="5">
        <v>8.5000000000000006E-2</v>
      </c>
      <c r="K15" s="5">
        <v>15</v>
      </c>
      <c r="L15" s="8">
        <v>46048</v>
      </c>
      <c r="M15" s="4" t="str">
        <f t="shared" si="1"/>
        <v>월</v>
      </c>
    </row>
    <row r="16" spans="1:13" ht="20.25" customHeight="1" x14ac:dyDescent="0.3">
      <c r="A16" s="2">
        <v>14</v>
      </c>
      <c r="B16" s="110"/>
      <c r="C16" s="1" t="s">
        <v>16</v>
      </c>
      <c r="D16" s="33" t="s">
        <v>86</v>
      </c>
      <c r="E16" s="44">
        <v>2.5</v>
      </c>
      <c r="F16" s="37"/>
      <c r="G16" s="5">
        <v>2</v>
      </c>
      <c r="H16" s="5">
        <v>1.3</v>
      </c>
      <c r="I16" s="5">
        <v>8.827</v>
      </c>
      <c r="J16" s="5">
        <v>8.5000000000000006E-2</v>
      </c>
      <c r="K16" s="5">
        <v>15</v>
      </c>
      <c r="L16" s="8">
        <v>46029</v>
      </c>
      <c r="M16" s="4" t="str">
        <f t="shared" si="1"/>
        <v>수</v>
      </c>
    </row>
    <row r="17" spans="1:13" ht="20.25" customHeight="1" x14ac:dyDescent="0.3">
      <c r="A17" s="2">
        <v>15</v>
      </c>
      <c r="B17" s="108" t="s">
        <v>112</v>
      </c>
      <c r="C17" s="1" t="s">
        <v>41</v>
      </c>
      <c r="D17" s="33" t="s">
        <v>56</v>
      </c>
      <c r="E17" s="44">
        <v>4.0999999999999996</v>
      </c>
      <c r="F17" s="37"/>
      <c r="G17" s="5">
        <v>2</v>
      </c>
      <c r="H17" s="5">
        <v>1.6</v>
      </c>
      <c r="I17" s="5">
        <v>17.021999999999998</v>
      </c>
      <c r="J17" s="5">
        <v>3.7999999999999999E-2</v>
      </c>
      <c r="K17" s="5">
        <v>28</v>
      </c>
      <c r="L17" s="8">
        <v>46048</v>
      </c>
      <c r="M17" s="4" t="str">
        <f t="shared" si="1"/>
        <v>월</v>
      </c>
    </row>
    <row r="18" spans="1:13" ht="20.25" customHeight="1" x14ac:dyDescent="0.3">
      <c r="A18" s="2">
        <v>16</v>
      </c>
      <c r="B18" s="110"/>
      <c r="C18" s="1" t="s">
        <v>17</v>
      </c>
      <c r="D18" s="33" t="s">
        <v>57</v>
      </c>
      <c r="E18" s="44">
        <v>3.9</v>
      </c>
      <c r="F18" s="37"/>
      <c r="G18" s="5">
        <v>2.4</v>
      </c>
      <c r="H18" s="5">
        <v>1.6</v>
      </c>
      <c r="I18" s="5">
        <v>17.318999999999999</v>
      </c>
      <c r="J18" s="5">
        <v>3.4000000000000002E-2</v>
      </c>
      <c r="K18" s="5">
        <v>31</v>
      </c>
      <c r="L18" s="8">
        <v>46048</v>
      </c>
      <c r="M18" s="4" t="str">
        <f t="shared" si="1"/>
        <v>월</v>
      </c>
    </row>
    <row r="19" spans="1:13" ht="20.25" customHeight="1" x14ac:dyDescent="0.3">
      <c r="A19" s="2">
        <v>17</v>
      </c>
      <c r="B19" s="1" t="s">
        <v>113</v>
      </c>
      <c r="C19" s="1" t="s">
        <v>36</v>
      </c>
      <c r="D19" s="33" t="s">
        <v>58</v>
      </c>
      <c r="E19" s="44">
        <v>2.2000000000000002</v>
      </c>
      <c r="F19" s="5">
        <v>3.5</v>
      </c>
      <c r="G19" s="5">
        <v>1.6</v>
      </c>
      <c r="H19" s="5">
        <v>3.3</v>
      </c>
      <c r="I19" s="5">
        <v>9.3350000000000009</v>
      </c>
      <c r="J19" s="5">
        <v>0.16900000000000001</v>
      </c>
      <c r="K19" s="5">
        <v>8</v>
      </c>
      <c r="L19" s="8">
        <v>46048</v>
      </c>
      <c r="M19" s="4" t="str">
        <f t="shared" si="1"/>
        <v>월</v>
      </c>
    </row>
    <row r="20" spans="1:13" ht="20.25" customHeight="1" x14ac:dyDescent="0.3">
      <c r="A20" s="2">
        <v>18</v>
      </c>
      <c r="B20" s="108" t="s">
        <v>114</v>
      </c>
      <c r="C20" s="1" t="s">
        <v>42</v>
      </c>
      <c r="D20" s="33" t="s">
        <v>93</v>
      </c>
      <c r="E20" s="44">
        <v>13.5</v>
      </c>
      <c r="F20" s="37"/>
      <c r="G20" s="5">
        <v>9.1</v>
      </c>
      <c r="H20" s="5">
        <v>43.6</v>
      </c>
      <c r="I20" s="5">
        <v>7.7530000000000001</v>
      </c>
      <c r="J20" s="5">
        <v>0.156</v>
      </c>
      <c r="K20" s="5">
        <v>7</v>
      </c>
      <c r="L20" s="8">
        <v>46029</v>
      </c>
      <c r="M20" s="4" t="str">
        <f t="shared" si="1"/>
        <v>수</v>
      </c>
    </row>
    <row r="21" spans="1:13" ht="20.25" customHeight="1" x14ac:dyDescent="0.3">
      <c r="A21" s="2">
        <v>19</v>
      </c>
      <c r="B21" s="109"/>
      <c r="C21" s="1" t="s">
        <v>18</v>
      </c>
      <c r="D21" s="33" t="s">
        <v>95</v>
      </c>
      <c r="E21" s="44">
        <v>2.2999999999999998</v>
      </c>
      <c r="F21" s="37"/>
      <c r="G21" s="5">
        <v>1.3</v>
      </c>
      <c r="H21" s="5">
        <v>3.6</v>
      </c>
      <c r="I21" s="5">
        <v>9.1579999999999995</v>
      </c>
      <c r="J21" s="5">
        <v>7.0000000000000007E-2</v>
      </c>
      <c r="K21" s="5">
        <v>11</v>
      </c>
      <c r="L21" s="8">
        <v>46029</v>
      </c>
      <c r="M21" s="4" t="str">
        <f t="shared" si="1"/>
        <v>수</v>
      </c>
    </row>
    <row r="22" spans="1:13" ht="20.25" customHeight="1" x14ac:dyDescent="0.3">
      <c r="A22" s="2">
        <v>20</v>
      </c>
      <c r="B22" s="109"/>
      <c r="C22" s="1" t="s">
        <v>19</v>
      </c>
      <c r="D22" s="33" t="s">
        <v>94</v>
      </c>
      <c r="E22" s="44">
        <v>7</v>
      </c>
      <c r="F22" s="37"/>
      <c r="G22" s="5">
        <v>4.7</v>
      </c>
      <c r="H22" s="5">
        <v>21</v>
      </c>
      <c r="I22" s="5">
        <v>9.06</v>
      </c>
      <c r="J22" s="5">
        <v>9.5000000000000001E-2</v>
      </c>
      <c r="K22" s="5">
        <v>55</v>
      </c>
      <c r="L22" s="8">
        <v>46029</v>
      </c>
      <c r="M22" s="4" t="str">
        <f t="shared" si="1"/>
        <v>수</v>
      </c>
    </row>
    <row r="23" spans="1:13" ht="20.25" customHeight="1" x14ac:dyDescent="0.3">
      <c r="A23" s="2">
        <v>21</v>
      </c>
      <c r="B23" s="109"/>
      <c r="C23" s="1" t="s">
        <v>63</v>
      </c>
      <c r="D23" s="33" t="s">
        <v>59</v>
      </c>
      <c r="E23" s="44">
        <v>4.9000000000000004</v>
      </c>
      <c r="F23" s="37"/>
      <c r="G23" s="5">
        <v>3.6</v>
      </c>
      <c r="H23" s="5">
        <v>12.9</v>
      </c>
      <c r="I23" s="5">
        <v>9.9120000000000008</v>
      </c>
      <c r="J23" s="5">
        <v>5.5E-2</v>
      </c>
      <c r="K23" s="5">
        <v>24</v>
      </c>
      <c r="L23" s="8">
        <v>46029</v>
      </c>
      <c r="M23" s="4" t="str">
        <f t="shared" si="1"/>
        <v>수</v>
      </c>
    </row>
    <row r="24" spans="1:13" ht="20.25" customHeight="1" x14ac:dyDescent="0.3">
      <c r="A24" s="2">
        <v>22</v>
      </c>
      <c r="B24" s="109"/>
      <c r="C24" s="1" t="s">
        <v>87</v>
      </c>
      <c r="D24" s="33" t="s">
        <v>88</v>
      </c>
      <c r="E24" s="44">
        <v>4.5999999999999996</v>
      </c>
      <c r="F24" s="5">
        <v>5.0999999999999996</v>
      </c>
      <c r="G24" s="5">
        <v>3</v>
      </c>
      <c r="H24" s="5">
        <v>6.7</v>
      </c>
      <c r="I24" s="5">
        <v>8.6739999999999995</v>
      </c>
      <c r="J24" s="5">
        <v>8.4000000000000005E-2</v>
      </c>
      <c r="K24" s="5">
        <v>15</v>
      </c>
      <c r="L24" s="8">
        <v>46029</v>
      </c>
      <c r="M24" s="4" t="str">
        <f t="shared" si="1"/>
        <v>수</v>
      </c>
    </row>
    <row r="25" spans="1:13" ht="20.25" customHeight="1" x14ac:dyDescent="0.3">
      <c r="A25" s="2">
        <v>23</v>
      </c>
      <c r="B25" s="109"/>
      <c r="C25" s="1" t="s">
        <v>20</v>
      </c>
      <c r="D25" s="33" t="s">
        <v>60</v>
      </c>
      <c r="E25" s="44">
        <v>4.4000000000000004</v>
      </c>
      <c r="F25" s="37"/>
      <c r="G25" s="5">
        <v>2.8</v>
      </c>
      <c r="H25" s="5">
        <v>3.5</v>
      </c>
      <c r="I25" s="5">
        <v>8.5470000000000006</v>
      </c>
      <c r="J25" s="5">
        <v>0.08</v>
      </c>
      <c r="K25" s="5">
        <v>19</v>
      </c>
      <c r="L25" s="8">
        <v>46029</v>
      </c>
      <c r="M25" s="4" t="str">
        <f t="shared" si="1"/>
        <v>수</v>
      </c>
    </row>
    <row r="26" spans="1:13" ht="20.25" customHeight="1" x14ac:dyDescent="0.3">
      <c r="A26" s="2">
        <v>24</v>
      </c>
      <c r="B26" s="109"/>
      <c r="C26" s="1" t="s">
        <v>21</v>
      </c>
      <c r="D26" s="33" t="s">
        <v>91</v>
      </c>
      <c r="E26" s="44">
        <v>3.52</v>
      </c>
      <c r="F26" s="37"/>
      <c r="G26" s="5">
        <v>2.2999999999999998</v>
      </c>
      <c r="H26" s="5">
        <v>2.8</v>
      </c>
      <c r="I26" s="5">
        <v>8.7880000000000003</v>
      </c>
      <c r="J26" s="5">
        <v>0.05</v>
      </c>
      <c r="K26" s="5">
        <v>9</v>
      </c>
      <c r="L26" s="8">
        <v>46028</v>
      </c>
      <c r="M26" s="4" t="str">
        <f t="shared" si="1"/>
        <v>화</v>
      </c>
    </row>
    <row r="27" spans="1:13" ht="20.25" customHeight="1" x14ac:dyDescent="0.3">
      <c r="A27" s="2">
        <v>25</v>
      </c>
      <c r="B27" s="109"/>
      <c r="C27" s="1" t="s">
        <v>22</v>
      </c>
      <c r="D27" s="33" t="s">
        <v>61</v>
      </c>
      <c r="E27" s="44">
        <v>6.29</v>
      </c>
      <c r="F27" s="37"/>
      <c r="G27" s="5">
        <v>5</v>
      </c>
      <c r="H27" s="5">
        <v>4</v>
      </c>
      <c r="I27" s="5">
        <v>11.069000000000001</v>
      </c>
      <c r="J27" s="5">
        <v>7.4999999999999997E-2</v>
      </c>
      <c r="K27" s="5">
        <v>19</v>
      </c>
      <c r="L27" s="8">
        <v>46028</v>
      </c>
      <c r="M27" s="4" t="str">
        <f t="shared" si="1"/>
        <v>화</v>
      </c>
    </row>
    <row r="28" spans="1:13" s="22" customFormat="1" ht="20.25" customHeight="1" x14ac:dyDescent="0.3">
      <c r="A28" s="2">
        <v>26</v>
      </c>
      <c r="B28" s="109"/>
      <c r="C28" s="1" t="s">
        <v>23</v>
      </c>
      <c r="D28" s="33" t="s">
        <v>24</v>
      </c>
      <c r="E28" s="44">
        <v>8.9700000000000006</v>
      </c>
      <c r="F28" s="37"/>
      <c r="G28" s="5">
        <v>4.0999999999999996</v>
      </c>
      <c r="H28" s="5">
        <v>6</v>
      </c>
      <c r="I28" s="5">
        <v>11.298999999999999</v>
      </c>
      <c r="J28" s="5">
        <v>0.104</v>
      </c>
      <c r="K28" s="5">
        <v>66</v>
      </c>
      <c r="L28" s="8">
        <v>46028</v>
      </c>
      <c r="M28" s="4" t="str">
        <f t="shared" si="1"/>
        <v>화</v>
      </c>
    </row>
    <row r="29" spans="1:13" s="22" customFormat="1" ht="20.25" customHeight="1" x14ac:dyDescent="0.3">
      <c r="A29" s="2">
        <v>27</v>
      </c>
      <c r="B29" s="109"/>
      <c r="C29" s="1" t="s">
        <v>64</v>
      </c>
      <c r="D29" s="33" t="s">
        <v>89</v>
      </c>
      <c r="E29" s="44">
        <v>8.06</v>
      </c>
      <c r="F29" s="37"/>
      <c r="G29" s="5">
        <v>6.2</v>
      </c>
      <c r="H29" s="5">
        <v>8.6</v>
      </c>
      <c r="I29" s="5">
        <v>11.962999999999999</v>
      </c>
      <c r="J29" s="5">
        <v>0.11700000000000001</v>
      </c>
      <c r="K29" s="5">
        <v>44</v>
      </c>
      <c r="L29" s="8">
        <v>46028</v>
      </c>
      <c r="M29" s="4" t="str">
        <f t="shared" si="1"/>
        <v>화</v>
      </c>
    </row>
    <row r="30" spans="1:13" ht="20.25" customHeight="1" x14ac:dyDescent="0.3">
      <c r="A30" s="2">
        <v>28</v>
      </c>
      <c r="B30" s="109"/>
      <c r="C30" s="1" t="s">
        <v>27</v>
      </c>
      <c r="D30" s="33" t="s">
        <v>62</v>
      </c>
      <c r="E30" s="44">
        <v>9.1</v>
      </c>
      <c r="F30" s="37"/>
      <c r="G30" s="5">
        <v>6.1</v>
      </c>
      <c r="H30" s="5">
        <v>7.6</v>
      </c>
      <c r="I30" s="5">
        <v>10.145</v>
      </c>
      <c r="J30" s="5">
        <v>0.11799999999999999</v>
      </c>
      <c r="K30" s="5">
        <v>30</v>
      </c>
      <c r="L30" s="8">
        <v>46029</v>
      </c>
      <c r="M30" s="4" t="str">
        <f t="shared" si="1"/>
        <v>수</v>
      </c>
    </row>
    <row r="31" spans="1:13" ht="20.25" customHeight="1" x14ac:dyDescent="0.3">
      <c r="A31" s="2">
        <v>29</v>
      </c>
      <c r="B31" s="109"/>
      <c r="C31" s="1" t="s">
        <v>25</v>
      </c>
      <c r="D31" s="33" t="s">
        <v>26</v>
      </c>
      <c r="E31" s="44">
        <v>8.9</v>
      </c>
      <c r="F31" s="37"/>
      <c r="G31" s="5">
        <v>6.5</v>
      </c>
      <c r="H31" s="5">
        <v>9</v>
      </c>
      <c r="I31" s="5">
        <v>10.207000000000001</v>
      </c>
      <c r="J31" s="5">
        <v>0.123</v>
      </c>
      <c r="K31" s="5">
        <v>31</v>
      </c>
      <c r="L31" s="8">
        <v>46029</v>
      </c>
      <c r="M31" s="4" t="str">
        <f t="shared" si="1"/>
        <v>수</v>
      </c>
    </row>
    <row r="32" spans="1:13" ht="20.25" customHeight="1" x14ac:dyDescent="0.3">
      <c r="A32" s="2">
        <v>30</v>
      </c>
      <c r="B32" s="110"/>
      <c r="C32" s="1" t="s">
        <v>28</v>
      </c>
      <c r="D32" s="33" t="s">
        <v>90</v>
      </c>
      <c r="E32" s="44">
        <v>8.1999999999999993</v>
      </c>
      <c r="F32" s="37"/>
      <c r="G32" s="5">
        <v>4.2</v>
      </c>
      <c r="H32" s="5">
        <v>5.8</v>
      </c>
      <c r="I32" s="5">
        <v>9.5299999999999994</v>
      </c>
      <c r="J32" s="5">
        <v>0.10199999999999999</v>
      </c>
      <c r="K32" s="5">
        <v>36</v>
      </c>
      <c r="L32" s="8">
        <v>46029</v>
      </c>
      <c r="M32" s="4" t="str">
        <f t="shared" si="1"/>
        <v>수</v>
      </c>
    </row>
    <row r="33" spans="1:14" ht="20.25" customHeight="1" x14ac:dyDescent="0.3">
      <c r="A33" s="2">
        <v>31</v>
      </c>
      <c r="B33" s="1" t="s">
        <v>115</v>
      </c>
      <c r="C33" s="1" t="s">
        <v>43</v>
      </c>
      <c r="D33" s="33" t="s">
        <v>30</v>
      </c>
      <c r="E33" s="44">
        <v>25.4</v>
      </c>
      <c r="F33" s="37"/>
      <c r="G33" s="5">
        <v>18.399999999999999</v>
      </c>
      <c r="H33" s="5">
        <v>11.2</v>
      </c>
      <c r="I33" s="5">
        <v>72.337000000000003</v>
      </c>
      <c r="J33" s="5">
        <v>0.14199999999999999</v>
      </c>
      <c r="K33" s="5">
        <v>45</v>
      </c>
      <c r="L33" s="8">
        <v>46029</v>
      </c>
      <c r="M33" s="4" t="str">
        <f t="shared" si="1"/>
        <v>수</v>
      </c>
    </row>
    <row r="34" spans="1:14" ht="20.25" customHeight="1" x14ac:dyDescent="0.3">
      <c r="A34" s="2">
        <v>32</v>
      </c>
      <c r="B34" s="1" t="s">
        <v>116</v>
      </c>
      <c r="C34" s="1" t="s">
        <v>31</v>
      </c>
      <c r="D34" s="33" t="s">
        <v>32</v>
      </c>
      <c r="E34" s="44">
        <v>18.399999999999999</v>
      </c>
      <c r="F34" s="37"/>
      <c r="G34" s="5">
        <v>12.3</v>
      </c>
      <c r="H34" s="5">
        <v>28.8</v>
      </c>
      <c r="I34" s="5">
        <v>9.2859999999999996</v>
      </c>
      <c r="J34" s="5">
        <v>0.17199999999999999</v>
      </c>
      <c r="K34" s="5">
        <v>49</v>
      </c>
      <c r="L34" s="8">
        <v>46029</v>
      </c>
      <c r="M34" s="4" t="str">
        <f t="shared" si="1"/>
        <v>수</v>
      </c>
    </row>
    <row r="35" spans="1:14" ht="20.25" customHeight="1" x14ac:dyDescent="0.3">
      <c r="A35" s="2">
        <v>33</v>
      </c>
      <c r="B35" s="1" t="s">
        <v>117</v>
      </c>
      <c r="C35" s="1" t="s">
        <v>103</v>
      </c>
      <c r="D35" s="33" t="s">
        <v>122</v>
      </c>
      <c r="E35" s="44">
        <v>4</v>
      </c>
      <c r="F35" s="37"/>
      <c r="G35" s="5">
        <v>2.1</v>
      </c>
      <c r="H35" s="5">
        <v>3.7</v>
      </c>
      <c r="I35" s="5">
        <v>4.4180000000000001</v>
      </c>
      <c r="J35" s="5">
        <v>8.6999999999999994E-2</v>
      </c>
      <c r="K35" s="5">
        <v>10</v>
      </c>
      <c r="L35" s="8">
        <v>46029</v>
      </c>
      <c r="M35" s="4" t="str">
        <f t="shared" si="1"/>
        <v>수</v>
      </c>
      <c r="N35" s="3" t="s">
        <v>106</v>
      </c>
    </row>
    <row r="36" spans="1:14" ht="20.25" customHeight="1" x14ac:dyDescent="0.3">
      <c r="A36" s="2">
        <v>34</v>
      </c>
      <c r="B36" s="34" t="s">
        <v>118</v>
      </c>
      <c r="C36" s="1" t="s">
        <v>104</v>
      </c>
      <c r="D36" s="33" t="s">
        <v>105</v>
      </c>
      <c r="E36" s="44">
        <v>14.9</v>
      </c>
      <c r="F36" s="37"/>
      <c r="G36" s="5">
        <v>10.199999999999999</v>
      </c>
      <c r="H36" s="5">
        <v>16</v>
      </c>
      <c r="I36" s="5">
        <v>3.673</v>
      </c>
      <c r="J36" s="5">
        <v>7.1999999999999995E-2</v>
      </c>
      <c r="K36" s="5">
        <v>8</v>
      </c>
      <c r="L36" s="8">
        <v>46029</v>
      </c>
      <c r="M36" s="4" t="str">
        <f t="shared" si="1"/>
        <v>수</v>
      </c>
      <c r="N36" s="3" t="s">
        <v>107</v>
      </c>
    </row>
    <row r="37" spans="1:14" ht="20.25" customHeight="1" x14ac:dyDescent="0.3">
      <c r="A37" s="2">
        <v>35</v>
      </c>
      <c r="B37" s="39" t="s">
        <v>119</v>
      </c>
      <c r="C37" s="1" t="s">
        <v>98</v>
      </c>
      <c r="D37" s="33" t="s">
        <v>99</v>
      </c>
      <c r="E37" s="44">
        <v>6.1</v>
      </c>
      <c r="F37" s="37"/>
      <c r="G37" s="5">
        <v>4.0999999999999996</v>
      </c>
      <c r="H37" s="5">
        <v>3.5</v>
      </c>
      <c r="I37" s="5">
        <v>10.98</v>
      </c>
      <c r="J37" s="5">
        <v>4.9000000000000002E-2</v>
      </c>
      <c r="K37" s="5">
        <v>28</v>
      </c>
      <c r="L37" s="8">
        <v>46029</v>
      </c>
      <c r="M37" s="4" t="str">
        <f t="shared" si="1"/>
        <v>수</v>
      </c>
    </row>
    <row r="38" spans="1:14" ht="20.25" customHeight="1" x14ac:dyDescent="0.3">
      <c r="A38" s="2">
        <v>36</v>
      </c>
      <c r="B38" s="1" t="s">
        <v>120</v>
      </c>
      <c r="C38" s="1" t="s">
        <v>29</v>
      </c>
      <c r="D38" s="33" t="s">
        <v>80</v>
      </c>
      <c r="E38" s="5">
        <v>2.7</v>
      </c>
      <c r="F38" s="37"/>
      <c r="G38" s="5">
        <v>1.7</v>
      </c>
      <c r="H38" s="5">
        <v>7</v>
      </c>
      <c r="I38" s="5">
        <v>4.32</v>
      </c>
      <c r="J38" s="5">
        <v>3.5999999999999997E-2</v>
      </c>
      <c r="K38" s="5">
        <v>7</v>
      </c>
      <c r="L38" s="8">
        <v>46029</v>
      </c>
      <c r="M38" s="4" t="str">
        <f t="shared" si="1"/>
        <v>수</v>
      </c>
    </row>
    <row r="39" spans="1:14" ht="20.25" customHeight="1" x14ac:dyDescent="0.3">
      <c r="A39" s="2">
        <v>37</v>
      </c>
      <c r="B39" s="35" t="s">
        <v>121</v>
      </c>
      <c r="C39" s="35" t="s">
        <v>37</v>
      </c>
      <c r="D39" s="33" t="s">
        <v>92</v>
      </c>
      <c r="E39" s="44">
        <v>3.15</v>
      </c>
      <c r="F39" s="37"/>
      <c r="G39" s="5">
        <v>2.7</v>
      </c>
      <c r="H39" s="5">
        <v>1.3</v>
      </c>
      <c r="I39" s="5">
        <v>7.8760000000000003</v>
      </c>
      <c r="J39" s="5">
        <v>4.8000000000000001E-2</v>
      </c>
      <c r="K39" s="5">
        <v>7</v>
      </c>
      <c r="L39" s="8">
        <v>46028</v>
      </c>
      <c r="M39" s="4" t="str">
        <f t="shared" si="1"/>
        <v>화</v>
      </c>
    </row>
    <row r="40" spans="1:14" ht="20.25" customHeight="1" x14ac:dyDescent="0.3"/>
  </sheetData>
  <autoFilter ref="A2:M39" xr:uid="{00000000-0009-0000-0000-00000C000000}"/>
  <mergeCells count="6">
    <mergeCell ref="A1:K1"/>
    <mergeCell ref="B12:B16"/>
    <mergeCell ref="B17:B18"/>
    <mergeCell ref="B20:B32"/>
    <mergeCell ref="B3:B6"/>
    <mergeCell ref="B7:B9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2749-BD12-4A6D-83FC-4AB75FB44E87}">
  <sheetPr>
    <tabColor theme="9" tint="0.79998168889431442"/>
  </sheetPr>
  <dimension ref="A1:V43"/>
  <sheetViews>
    <sheetView topLeftCell="B1" zoomScaleNormal="100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M32" sqref="M32"/>
    </sheetView>
  </sheetViews>
  <sheetFormatPr defaultRowHeight="14.25" x14ac:dyDescent="0.3"/>
  <cols>
    <col min="1" max="1" width="4.75" style="11" bestFit="1" customWidth="1"/>
    <col min="2" max="2" width="9.125" style="11" customWidth="1"/>
    <col min="3" max="3" width="12.25" style="11" bestFit="1" customWidth="1"/>
    <col min="4" max="4" width="44" style="17" bestFit="1" customWidth="1"/>
    <col min="5" max="5" width="8.125" style="16" customWidth="1"/>
    <col min="6" max="6" width="9.75" style="16" customWidth="1"/>
    <col min="7" max="15" width="8.125" style="16" customWidth="1"/>
    <col min="16" max="16" width="7.5" style="16" customWidth="1"/>
    <col min="17" max="17" width="8.125" style="7" customWidth="1"/>
    <col min="18" max="18" width="12.875" style="11" customWidth="1"/>
    <col min="19" max="20" width="12.875" style="17" customWidth="1"/>
    <col min="21" max="21" width="16.375" style="17" bestFit="1" customWidth="1"/>
    <col min="22" max="16384" width="9" style="17"/>
  </cols>
  <sheetData>
    <row r="1" spans="1:22" ht="35.25" customHeight="1" x14ac:dyDescent="0.3">
      <c r="A1" s="111" t="s">
        <v>126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2" ht="25.5" customHeight="1" x14ac:dyDescent="0.3">
      <c r="A2" s="13" t="s">
        <v>33</v>
      </c>
      <c r="B2" s="14" t="s">
        <v>34</v>
      </c>
      <c r="C2" s="14" t="s">
        <v>0</v>
      </c>
      <c r="D2" s="15" t="s">
        <v>1</v>
      </c>
      <c r="E2" s="47" t="s">
        <v>69</v>
      </c>
      <c r="F2" s="47" t="s">
        <v>70</v>
      </c>
      <c r="G2" s="47" t="s">
        <v>71</v>
      </c>
      <c r="H2" s="47" t="s">
        <v>72</v>
      </c>
      <c r="I2" s="47" t="s">
        <v>73</v>
      </c>
      <c r="J2" s="47" t="s">
        <v>74</v>
      </c>
      <c r="K2" s="47" t="s">
        <v>75</v>
      </c>
      <c r="L2" s="47" t="s">
        <v>68</v>
      </c>
      <c r="M2" s="47" t="s">
        <v>81</v>
      </c>
      <c r="N2" s="47" t="s">
        <v>82</v>
      </c>
      <c r="O2" s="47" t="s">
        <v>83</v>
      </c>
      <c r="P2" s="47" t="s">
        <v>84</v>
      </c>
      <c r="Q2" s="9" t="s">
        <v>78</v>
      </c>
      <c r="R2" s="12" t="s">
        <v>79</v>
      </c>
      <c r="S2" s="12" t="s">
        <v>76</v>
      </c>
      <c r="T2" s="45" t="s">
        <v>77</v>
      </c>
      <c r="U2" s="17" t="s">
        <v>250</v>
      </c>
    </row>
    <row r="3" spans="1:22" ht="20.100000000000001" customHeight="1" x14ac:dyDescent="0.3">
      <c r="A3" s="18">
        <v>2</v>
      </c>
      <c r="B3" s="108" t="s">
        <v>66</v>
      </c>
      <c r="C3" s="1" t="s">
        <v>38</v>
      </c>
      <c r="D3" s="33" t="s">
        <v>46</v>
      </c>
      <c r="E3" s="53">
        <f>'202601'!E3</f>
        <v>2.5</v>
      </c>
      <c r="F3" s="53">
        <f>'202602'!E3</f>
        <v>11.9</v>
      </c>
      <c r="G3" s="54">
        <f>'202603'!E3</f>
        <v>3.8</v>
      </c>
      <c r="H3" s="54">
        <f>'202604'!E3</f>
        <v>1.8</v>
      </c>
      <c r="I3" s="54">
        <f>'202605'!E3</f>
        <v>1.9</v>
      </c>
      <c r="J3" s="54">
        <f>'202606'!E3</f>
        <v>2.9</v>
      </c>
      <c r="K3" s="53">
        <f>'202607'!E3</f>
        <v>2.93</v>
      </c>
      <c r="L3" s="53">
        <f>'202608'!E3</f>
        <v>2.4</v>
      </c>
      <c r="M3" s="53">
        <f>'202609'!E3</f>
        <v>3.92</v>
      </c>
      <c r="N3" s="23"/>
      <c r="O3" s="23"/>
      <c r="P3" s="38"/>
      <c r="Q3" s="55">
        <f>MAX(E3:P3)</f>
        <v>11.9</v>
      </c>
      <c r="R3" s="55">
        <f t="shared" ref="R3:R39" si="0">MIN(E3:P3)</f>
        <v>1.8</v>
      </c>
      <c r="S3" s="55">
        <f t="shared" ref="S3:S38" si="1">AVERAGE(E3:P3)</f>
        <v>3.7833333333333332</v>
      </c>
      <c r="T3" s="56">
        <f t="shared" ref="T3:T39" si="2">STDEV(E3:P3)</f>
        <v>3.1314693036975476</v>
      </c>
      <c r="U3" s="86" t="str">
        <f>IF(S3&lt;=2, "매우좋음", IF(S3&lt;=3, "좋음", IF(S3&lt;=4, "약간좋음", IF(S3&lt;=5, "보통", IF(S3&lt;=6, "약간나쁨", IF(S3&lt;=8, "나쁨", "매우나쁨"))))))</f>
        <v>약간좋음</v>
      </c>
    </row>
    <row r="4" spans="1:22" ht="20.100000000000001" customHeight="1" x14ac:dyDescent="0.3">
      <c r="A4" s="18">
        <v>3</v>
      </c>
      <c r="B4" s="109"/>
      <c r="C4" s="1" t="s">
        <v>8</v>
      </c>
      <c r="D4" s="33" t="s">
        <v>47</v>
      </c>
      <c r="E4" s="53">
        <f>'202601'!E4</f>
        <v>1.9</v>
      </c>
      <c r="F4" s="53">
        <f>'202602'!E4</f>
        <v>1.8</v>
      </c>
      <c r="G4" s="54">
        <f>'202603'!E4</f>
        <v>2.1</v>
      </c>
      <c r="H4" s="54">
        <f>'202604'!E4</f>
        <v>2.8</v>
      </c>
      <c r="I4" s="54">
        <f>'202605'!E4</f>
        <v>2.9</v>
      </c>
      <c r="J4" s="54">
        <f>'202606'!E4</f>
        <v>2.8</v>
      </c>
      <c r="K4" s="53">
        <f>'202607'!E4</f>
        <v>1.93</v>
      </c>
      <c r="L4" s="53">
        <f>'202608'!E4</f>
        <v>2.1</v>
      </c>
      <c r="M4" s="53">
        <f>'202609'!E4</f>
        <v>1.9</v>
      </c>
      <c r="N4" s="23"/>
      <c r="O4" s="23"/>
      <c r="P4" s="38"/>
      <c r="Q4" s="55">
        <f t="shared" ref="Q4:Q39" si="3">MAX(E4:P4)</f>
        <v>2.9</v>
      </c>
      <c r="R4" s="55">
        <f t="shared" si="0"/>
        <v>1.8</v>
      </c>
      <c r="S4" s="55">
        <f t="shared" si="1"/>
        <v>2.2477777777777779</v>
      </c>
      <c r="T4" s="56">
        <f t="shared" si="2"/>
        <v>0.4503270416535563</v>
      </c>
      <c r="U4" s="86" t="str">
        <f t="shared" ref="U4:U39" si="4">IF(S4&lt;=2, "매우좋음", IF(S4&lt;=3, "좋음", IF(S4&lt;=4, "약간좋음", IF(S4&lt;=5, "보통", IF(S4&lt;=6, "약간나쁨", IF(S4&lt;=8, "나쁨", "매우나쁨"))))))</f>
        <v>좋음</v>
      </c>
    </row>
    <row r="5" spans="1:22" ht="20.100000000000001" customHeight="1" x14ac:dyDescent="0.3">
      <c r="A5" s="18">
        <v>4</v>
      </c>
      <c r="B5" s="109"/>
      <c r="C5" s="1" t="s">
        <v>9</v>
      </c>
      <c r="D5" s="33" t="s">
        <v>48</v>
      </c>
      <c r="E5" s="53">
        <f>'202601'!E5</f>
        <v>2.2999999999999998</v>
      </c>
      <c r="F5" s="53">
        <f>'202602'!E5</f>
        <v>2.2000000000000002</v>
      </c>
      <c r="G5" s="54">
        <f>'202603'!E5</f>
        <v>2.4</v>
      </c>
      <c r="H5" s="54">
        <f>'202604'!E5</f>
        <v>3.1</v>
      </c>
      <c r="I5" s="54">
        <f>'202605'!E5</f>
        <v>3</v>
      </c>
      <c r="J5" s="54">
        <f>'202606'!E5</f>
        <v>2.9</v>
      </c>
      <c r="K5" s="53">
        <f>'202607'!E5</f>
        <v>1.87</v>
      </c>
      <c r="L5" s="53">
        <f>'202608'!E5</f>
        <v>2.7</v>
      </c>
      <c r="M5" s="53">
        <f>'202609'!E5</f>
        <v>2</v>
      </c>
      <c r="N5" s="23"/>
      <c r="O5" s="23"/>
      <c r="P5" s="38"/>
      <c r="Q5" s="55">
        <f t="shared" si="3"/>
        <v>3.1</v>
      </c>
      <c r="R5" s="55">
        <f t="shared" si="0"/>
        <v>1.87</v>
      </c>
      <c r="S5" s="55">
        <f t="shared" si="1"/>
        <v>2.4966666666666666</v>
      </c>
      <c r="T5" s="56">
        <f t="shared" si="2"/>
        <v>0.44676615807377479</v>
      </c>
      <c r="U5" s="86" t="str">
        <f t="shared" si="4"/>
        <v>좋음</v>
      </c>
    </row>
    <row r="6" spans="1:22" ht="20.100000000000001" customHeight="1" x14ac:dyDescent="0.3">
      <c r="A6" s="18">
        <v>8</v>
      </c>
      <c r="B6" s="110"/>
      <c r="C6" s="1" t="s">
        <v>10</v>
      </c>
      <c r="D6" s="33" t="s">
        <v>97</v>
      </c>
      <c r="E6" s="53">
        <f>'202601'!E6</f>
        <v>2.2999999999999998</v>
      </c>
      <c r="F6" s="53">
        <f>'202602'!E6</f>
        <v>4.0999999999999996</v>
      </c>
      <c r="G6" s="54">
        <f>'202603'!E6</f>
        <v>2.8</v>
      </c>
      <c r="H6" s="54">
        <f>'202604'!E6</f>
        <v>5</v>
      </c>
      <c r="I6" s="54">
        <f>'202605'!E6</f>
        <v>3.2</v>
      </c>
      <c r="J6" s="54">
        <f>'202606'!E6</f>
        <v>3.5</v>
      </c>
      <c r="K6" s="53">
        <f>'202607'!E6</f>
        <v>1.83</v>
      </c>
      <c r="L6" s="53">
        <f>'202608'!E6</f>
        <v>3</v>
      </c>
      <c r="M6" s="53">
        <f>'202609'!E6</f>
        <v>2.4</v>
      </c>
      <c r="N6" s="23"/>
      <c r="O6" s="23"/>
      <c r="P6" s="38"/>
      <c r="Q6" s="55">
        <f t="shared" si="3"/>
        <v>5</v>
      </c>
      <c r="R6" s="55">
        <f t="shared" si="0"/>
        <v>1.83</v>
      </c>
      <c r="S6" s="57">
        <f>AVERAGE(E6:P6)</f>
        <v>3.1255555555555552</v>
      </c>
      <c r="T6" s="56">
        <f t="shared" si="2"/>
        <v>0.97577035094215825</v>
      </c>
      <c r="U6" s="86" t="str">
        <f t="shared" si="4"/>
        <v>약간좋음</v>
      </c>
    </row>
    <row r="7" spans="1:22" ht="20.100000000000001" customHeight="1" x14ac:dyDescent="0.3">
      <c r="A7" s="18">
        <v>10</v>
      </c>
      <c r="B7" s="48" t="s">
        <v>108</v>
      </c>
      <c r="C7" s="1" t="s">
        <v>39</v>
      </c>
      <c r="D7" s="33" t="s">
        <v>49</v>
      </c>
      <c r="E7" s="53">
        <f>'202601'!E7</f>
        <v>2.2999999999999998</v>
      </c>
      <c r="F7" s="53">
        <f>'202602'!E7</f>
        <v>3.3</v>
      </c>
      <c r="G7" s="54">
        <f>'202603'!E7</f>
        <v>3.7</v>
      </c>
      <c r="H7" s="54">
        <f>'202604'!E7</f>
        <v>2.2999999999999998</v>
      </c>
      <c r="I7" s="54">
        <f>'202605'!E7</f>
        <v>3.5</v>
      </c>
      <c r="J7" s="54">
        <f>'202606'!E7</f>
        <v>3.6</v>
      </c>
      <c r="K7" s="53">
        <f>'202607'!E7</f>
        <v>2.4</v>
      </c>
      <c r="L7" s="53">
        <f>'202608'!E7</f>
        <v>2.9</v>
      </c>
      <c r="M7" s="53">
        <f>'202609'!E7</f>
        <v>4.2699999999999996</v>
      </c>
      <c r="N7" s="23"/>
      <c r="O7" s="23"/>
      <c r="P7" s="38"/>
      <c r="Q7" s="55">
        <f t="shared" si="3"/>
        <v>4.2699999999999996</v>
      </c>
      <c r="R7" s="55">
        <f t="shared" si="0"/>
        <v>2.2999999999999998</v>
      </c>
      <c r="S7" s="55">
        <f t="shared" si="1"/>
        <v>3.141111111111111</v>
      </c>
      <c r="T7" s="56">
        <f t="shared" si="2"/>
        <v>0.70477734860813379</v>
      </c>
      <c r="U7" s="86" t="str">
        <f t="shared" si="4"/>
        <v>약간좋음</v>
      </c>
    </row>
    <row r="8" spans="1:22" ht="20.100000000000001" customHeight="1" x14ac:dyDescent="0.3">
      <c r="A8" s="18">
        <v>11</v>
      </c>
      <c r="B8" s="41"/>
      <c r="C8" s="1" t="s">
        <v>11</v>
      </c>
      <c r="D8" s="33" t="s">
        <v>96</v>
      </c>
      <c r="E8" s="53">
        <f>'202601'!E8</f>
        <v>2.5</v>
      </c>
      <c r="F8" s="53">
        <f>'202602'!E8</f>
        <v>3.3</v>
      </c>
      <c r="G8" s="54">
        <f>'202603'!E8</f>
        <v>3.9</v>
      </c>
      <c r="H8" s="54">
        <f>'202604'!E8</f>
        <v>2.4</v>
      </c>
      <c r="I8" s="54">
        <f>'202605'!E8</f>
        <v>3.8</v>
      </c>
      <c r="J8" s="54">
        <f>'202606'!E8</f>
        <v>3.6</v>
      </c>
      <c r="K8" s="53">
        <f>'202607'!E8</f>
        <v>2.48</v>
      </c>
      <c r="L8" s="53">
        <f>'202608'!E8</f>
        <v>2.9</v>
      </c>
      <c r="M8" s="53">
        <f>'202609'!E8</f>
        <v>4.22</v>
      </c>
      <c r="N8" s="23"/>
      <c r="O8" s="23"/>
      <c r="P8" s="38"/>
      <c r="Q8" s="55">
        <f t="shared" si="3"/>
        <v>4.22</v>
      </c>
      <c r="R8" s="55">
        <f t="shared" si="0"/>
        <v>2.4</v>
      </c>
      <c r="S8" s="55">
        <f t="shared" si="1"/>
        <v>3.2333333333333329</v>
      </c>
      <c r="T8" s="56">
        <f t="shared" si="2"/>
        <v>0.688186021363411</v>
      </c>
      <c r="U8" s="86" t="str">
        <f t="shared" si="4"/>
        <v>약간좋음</v>
      </c>
    </row>
    <row r="9" spans="1:22" ht="20.100000000000001" customHeight="1" x14ac:dyDescent="0.3">
      <c r="A9" s="18">
        <v>12</v>
      </c>
      <c r="B9" s="42"/>
      <c r="C9" s="1" t="s">
        <v>12</v>
      </c>
      <c r="D9" s="33" t="s">
        <v>50</v>
      </c>
      <c r="E9" s="53">
        <f>'202601'!E9</f>
        <v>2.4</v>
      </c>
      <c r="F9" s="53">
        <f>'202602'!E9</f>
        <v>3.4</v>
      </c>
      <c r="G9" s="54">
        <f>'202603'!E9</f>
        <v>3.9</v>
      </c>
      <c r="H9" s="54">
        <f>'202604'!E9</f>
        <v>5</v>
      </c>
      <c r="I9" s="54">
        <f>'202605'!E9</f>
        <v>4</v>
      </c>
      <c r="J9" s="54">
        <f>'202606'!E9</f>
        <v>3.7</v>
      </c>
      <c r="K9" s="53">
        <f>'202607'!E9</f>
        <v>2.5</v>
      </c>
      <c r="L9" s="53">
        <f>'202608'!E9</f>
        <v>3</v>
      </c>
      <c r="M9" s="53">
        <f>'202609'!E9</f>
        <v>4.18</v>
      </c>
      <c r="N9" s="23"/>
      <c r="O9" s="23"/>
      <c r="P9" s="38"/>
      <c r="Q9" s="55">
        <f t="shared" si="3"/>
        <v>5</v>
      </c>
      <c r="R9" s="55">
        <f t="shared" si="0"/>
        <v>2.4</v>
      </c>
      <c r="S9" s="55">
        <f>AVERAGE(E9:P9)</f>
        <v>3.5644444444444443</v>
      </c>
      <c r="T9" s="56">
        <f t="shared" si="2"/>
        <v>0.83628809496355883</v>
      </c>
      <c r="U9" s="86" t="str">
        <f t="shared" si="4"/>
        <v>약간좋음</v>
      </c>
    </row>
    <row r="10" spans="1:22" ht="20.100000000000001" customHeight="1" x14ac:dyDescent="0.3">
      <c r="A10" s="18">
        <v>13</v>
      </c>
      <c r="B10" s="1" t="s">
        <v>109</v>
      </c>
      <c r="C10" s="1" t="s">
        <v>35</v>
      </c>
      <c r="D10" s="33" t="s">
        <v>51</v>
      </c>
      <c r="E10" s="53">
        <f>'202601'!E10</f>
        <v>4.3</v>
      </c>
      <c r="F10" s="53">
        <f>'202602'!E10</f>
        <v>6.3</v>
      </c>
      <c r="G10" s="54">
        <f>'202603'!E10</f>
        <v>5.9</v>
      </c>
      <c r="H10" s="54">
        <f>'202604'!E10</f>
        <v>4.5</v>
      </c>
      <c r="I10" s="54">
        <f>'202605'!E10</f>
        <v>3.3</v>
      </c>
      <c r="J10" s="54">
        <f>'202606'!E10</f>
        <v>3.5</v>
      </c>
      <c r="K10" s="53">
        <f>'202607'!E10</f>
        <v>2.9</v>
      </c>
      <c r="L10" s="53">
        <f>'202608'!E10</f>
        <v>3.4</v>
      </c>
      <c r="M10" s="53">
        <f>'202609'!E10</f>
        <v>4.09</v>
      </c>
      <c r="N10" s="23"/>
      <c r="O10" s="23"/>
      <c r="P10" s="38"/>
      <c r="Q10" s="55">
        <f t="shared" si="3"/>
        <v>6.3</v>
      </c>
      <c r="R10" s="55">
        <f t="shared" si="0"/>
        <v>2.9</v>
      </c>
      <c r="S10" s="55">
        <f t="shared" si="1"/>
        <v>4.2433333333333332</v>
      </c>
      <c r="T10" s="56">
        <f t="shared" si="2"/>
        <v>1.1739463360818507</v>
      </c>
      <c r="U10" s="86" t="str">
        <f t="shared" si="4"/>
        <v>보통</v>
      </c>
    </row>
    <row r="11" spans="1:22" ht="20.100000000000001" customHeight="1" x14ac:dyDescent="0.3">
      <c r="A11" s="18">
        <v>14</v>
      </c>
      <c r="B11" s="1" t="s">
        <v>110</v>
      </c>
      <c r="C11" s="1" t="s">
        <v>65</v>
      </c>
      <c r="D11" s="33" t="s">
        <v>85</v>
      </c>
      <c r="E11" s="53">
        <f>'202601'!E11</f>
        <v>4.2</v>
      </c>
      <c r="F11" s="53">
        <f>'202602'!E11</f>
        <v>5.0999999999999996</v>
      </c>
      <c r="G11" s="54">
        <f>'202603'!E11</f>
        <v>5.8</v>
      </c>
      <c r="H11" s="54">
        <f>'202604'!E11</f>
        <v>4.5</v>
      </c>
      <c r="I11" s="54">
        <f>'202605'!E11</f>
        <v>3.3</v>
      </c>
      <c r="J11" s="54">
        <f>'202606'!E11</f>
        <v>3.6</v>
      </c>
      <c r="K11" s="53">
        <f>'202607'!E11</f>
        <v>2.9</v>
      </c>
      <c r="L11" s="53">
        <f>'202608'!E11</f>
        <v>3.4</v>
      </c>
      <c r="M11" s="53">
        <f>'202609'!E11</f>
        <v>3.98</v>
      </c>
      <c r="N11" s="23"/>
      <c r="O11" s="23"/>
      <c r="P11" s="38"/>
      <c r="Q11" s="55">
        <f t="shared" si="3"/>
        <v>5.8</v>
      </c>
      <c r="R11" s="55">
        <f t="shared" si="0"/>
        <v>2.9</v>
      </c>
      <c r="S11" s="55">
        <f t="shared" si="1"/>
        <v>4.0866666666666669</v>
      </c>
      <c r="T11" s="56">
        <f t="shared" si="2"/>
        <v>0.92822411086978107</v>
      </c>
      <c r="U11" s="86" t="str">
        <f t="shared" si="4"/>
        <v>보통</v>
      </c>
      <c r="V11" s="17">
        <v>1</v>
      </c>
    </row>
    <row r="12" spans="1:22" ht="20.100000000000001" customHeight="1" x14ac:dyDescent="0.3">
      <c r="A12" s="18">
        <v>17</v>
      </c>
      <c r="B12" s="108" t="s">
        <v>111</v>
      </c>
      <c r="C12" s="1" t="s">
        <v>40</v>
      </c>
      <c r="D12" s="33" t="s">
        <v>52</v>
      </c>
      <c r="E12" s="53">
        <f>'202601'!E12</f>
        <v>2.7</v>
      </c>
      <c r="F12" s="53">
        <f>'202602'!E12</f>
        <v>2.1</v>
      </c>
      <c r="G12" s="54">
        <f>'202603'!E12</f>
        <v>2.4</v>
      </c>
      <c r="H12" s="54">
        <f>'202604'!E12</f>
        <v>2</v>
      </c>
      <c r="I12" s="54">
        <f>'202605'!E12</f>
        <v>2.2999999999999998</v>
      </c>
      <c r="J12" s="54">
        <f>'202606'!E12</f>
        <v>1.9</v>
      </c>
      <c r="K12" s="53">
        <f>'202607'!E12</f>
        <v>2.2000000000000002</v>
      </c>
      <c r="L12" s="53">
        <f>'202608'!E12</f>
        <v>3</v>
      </c>
      <c r="M12" s="53">
        <f>'202609'!E12</f>
        <v>1.66</v>
      </c>
      <c r="N12" s="23"/>
      <c r="O12" s="23"/>
      <c r="P12" s="38"/>
      <c r="Q12" s="55">
        <f t="shared" si="3"/>
        <v>3</v>
      </c>
      <c r="R12" s="55">
        <f t="shared" si="0"/>
        <v>1.66</v>
      </c>
      <c r="S12" s="55">
        <f t="shared" si="1"/>
        <v>2.2511111111111113</v>
      </c>
      <c r="T12" s="56">
        <f t="shared" si="2"/>
        <v>0.41050104885506816</v>
      </c>
      <c r="U12" s="86" t="str">
        <f t="shared" si="4"/>
        <v>좋음</v>
      </c>
    </row>
    <row r="13" spans="1:22" ht="20.100000000000001" customHeight="1" x14ac:dyDescent="0.3">
      <c r="A13" s="18">
        <v>18</v>
      </c>
      <c r="B13" s="109"/>
      <c r="C13" s="1" t="s">
        <v>13</v>
      </c>
      <c r="D13" s="33" t="s">
        <v>53</v>
      </c>
      <c r="E13" s="53">
        <f>'202601'!E13</f>
        <v>2.5</v>
      </c>
      <c r="F13" s="53">
        <f>'202602'!E13</f>
        <v>2</v>
      </c>
      <c r="G13" s="54">
        <f>'202603'!E13</f>
        <v>2.2999999999999998</v>
      </c>
      <c r="H13" s="54">
        <f>'202604'!E13</f>
        <v>1.7</v>
      </c>
      <c r="I13" s="54">
        <f>'202605'!E13</f>
        <v>2.2000000000000002</v>
      </c>
      <c r="J13" s="54">
        <f>'202606'!E13</f>
        <v>1.9</v>
      </c>
      <c r="K13" s="53">
        <f>'202607'!E13</f>
        <v>2.1</v>
      </c>
      <c r="L13" s="53">
        <f>'202608'!E13</f>
        <v>2.5</v>
      </c>
      <c r="M13" s="53">
        <f>'202609'!E13</f>
        <v>1.68</v>
      </c>
      <c r="N13" s="23"/>
      <c r="O13" s="23"/>
      <c r="P13" s="38"/>
      <c r="Q13" s="55">
        <f t="shared" si="3"/>
        <v>2.5</v>
      </c>
      <c r="R13" s="55">
        <f t="shared" si="0"/>
        <v>1.68</v>
      </c>
      <c r="S13" s="55">
        <f t="shared" si="1"/>
        <v>2.0977777777777775</v>
      </c>
      <c r="T13" s="56">
        <f t="shared" si="2"/>
        <v>0.30748080337550304</v>
      </c>
      <c r="U13" s="86" t="str">
        <f t="shared" si="4"/>
        <v>좋음</v>
      </c>
    </row>
    <row r="14" spans="1:22" ht="20.100000000000001" customHeight="1" x14ac:dyDescent="0.3">
      <c r="A14" s="18">
        <v>20</v>
      </c>
      <c r="B14" s="109"/>
      <c r="C14" s="1" t="s">
        <v>14</v>
      </c>
      <c r="D14" s="33" t="s">
        <v>54</v>
      </c>
      <c r="E14" s="53">
        <f>'202601'!E14</f>
        <v>2.5</v>
      </c>
      <c r="F14" s="53">
        <f>'202602'!E14</f>
        <v>2</v>
      </c>
      <c r="G14" s="54">
        <f>'202603'!E14</f>
        <v>2.4</v>
      </c>
      <c r="H14" s="54">
        <f>'202604'!E14</f>
        <v>2.2000000000000002</v>
      </c>
      <c r="I14" s="54">
        <f>'202605'!E14</f>
        <v>2.1</v>
      </c>
      <c r="J14" s="54">
        <f>'202606'!E14</f>
        <v>2.1</v>
      </c>
      <c r="K14" s="53">
        <f>'202607'!E14</f>
        <v>2</v>
      </c>
      <c r="L14" s="53">
        <f>'202608'!E14</f>
        <v>2.5</v>
      </c>
      <c r="M14" s="53">
        <f>'202609'!E14</f>
        <v>2.15</v>
      </c>
      <c r="N14" s="23"/>
      <c r="O14" s="23"/>
      <c r="P14" s="38"/>
      <c r="Q14" s="55">
        <f t="shared" si="3"/>
        <v>2.5</v>
      </c>
      <c r="R14" s="55">
        <f t="shared" si="0"/>
        <v>2</v>
      </c>
      <c r="S14" s="55">
        <f t="shared" si="1"/>
        <v>2.2166666666666668</v>
      </c>
      <c r="T14" s="56">
        <f t="shared" si="2"/>
        <v>0.19999999999999998</v>
      </c>
      <c r="U14" s="86" t="str">
        <f t="shared" si="4"/>
        <v>좋음</v>
      </c>
    </row>
    <row r="15" spans="1:22" ht="20.100000000000001" customHeight="1" x14ac:dyDescent="0.3">
      <c r="A15" s="18">
        <v>21</v>
      </c>
      <c r="B15" s="109"/>
      <c r="C15" s="1" t="s">
        <v>15</v>
      </c>
      <c r="D15" s="33" t="s">
        <v>55</v>
      </c>
      <c r="E15" s="53">
        <f>'202601'!E15</f>
        <v>2.5</v>
      </c>
      <c r="F15" s="53">
        <f>'202602'!E15</f>
        <v>2</v>
      </c>
      <c r="G15" s="54">
        <f>'202603'!E15</f>
        <v>2.4</v>
      </c>
      <c r="H15" s="54">
        <f>'202604'!E15</f>
        <v>2.2000000000000002</v>
      </c>
      <c r="I15" s="54">
        <f>'202605'!E15</f>
        <v>2.2999999999999998</v>
      </c>
      <c r="J15" s="54">
        <f>'202606'!E15</f>
        <v>2.1</v>
      </c>
      <c r="K15" s="53">
        <f>'202607'!E15</f>
        <v>2</v>
      </c>
      <c r="L15" s="53">
        <f>'202608'!E15</f>
        <v>3.4</v>
      </c>
      <c r="M15" s="53">
        <f>'202609'!E15</f>
        <v>2.06</v>
      </c>
      <c r="N15" s="23"/>
      <c r="O15" s="23"/>
      <c r="P15" s="38"/>
      <c r="Q15" s="55">
        <f t="shared" si="3"/>
        <v>3.4</v>
      </c>
      <c r="R15" s="55">
        <f t="shared" si="0"/>
        <v>2</v>
      </c>
      <c r="S15" s="55">
        <f t="shared" si="1"/>
        <v>2.3288888888888888</v>
      </c>
      <c r="T15" s="56">
        <f t="shared" si="2"/>
        <v>0.43876088147316666</v>
      </c>
      <c r="U15" s="86" t="str">
        <f t="shared" si="4"/>
        <v>좋음</v>
      </c>
    </row>
    <row r="16" spans="1:22" ht="20.100000000000001" customHeight="1" x14ac:dyDescent="0.3">
      <c r="A16" s="18">
        <v>22</v>
      </c>
      <c r="B16" s="110"/>
      <c r="C16" s="1" t="s">
        <v>16</v>
      </c>
      <c r="D16" s="33" t="s">
        <v>86</v>
      </c>
      <c r="E16" s="53">
        <f>'202601'!E16</f>
        <v>2.5</v>
      </c>
      <c r="F16" s="53">
        <f>'202602'!E16</f>
        <v>2</v>
      </c>
      <c r="G16" s="54">
        <f>'202603'!E16</f>
        <v>2.2000000000000002</v>
      </c>
      <c r="H16" s="54">
        <f>'202604'!E16</f>
        <v>2.2000000000000002</v>
      </c>
      <c r="I16" s="54">
        <f>'202605'!E16</f>
        <v>1.9</v>
      </c>
      <c r="J16" s="54">
        <f>'202606'!E16</f>
        <v>2.1</v>
      </c>
      <c r="K16" s="53">
        <f>'202607'!E16</f>
        <v>2</v>
      </c>
      <c r="L16" s="53">
        <f>'202608'!E16</f>
        <v>3.4</v>
      </c>
      <c r="M16" s="53">
        <f>'202609'!E16</f>
        <v>2.15</v>
      </c>
      <c r="N16" s="23"/>
      <c r="O16" s="23"/>
      <c r="P16" s="38"/>
      <c r="Q16" s="55">
        <f t="shared" si="3"/>
        <v>3.4</v>
      </c>
      <c r="R16" s="55">
        <f t="shared" si="0"/>
        <v>1.9</v>
      </c>
      <c r="S16" s="58">
        <f>AVERAGE(E16:P16)</f>
        <v>2.2722222222222221</v>
      </c>
      <c r="T16" s="56">
        <f t="shared" si="2"/>
        <v>0.45628329406679419</v>
      </c>
      <c r="U16" s="86" t="str">
        <f t="shared" si="4"/>
        <v>좋음</v>
      </c>
    </row>
    <row r="17" spans="1:21" ht="20.100000000000001" customHeight="1" x14ac:dyDescent="0.3">
      <c r="A17" s="18">
        <v>23</v>
      </c>
      <c r="B17" s="108" t="s">
        <v>112</v>
      </c>
      <c r="C17" s="1" t="s">
        <v>41</v>
      </c>
      <c r="D17" s="33" t="s">
        <v>56</v>
      </c>
      <c r="E17" s="53">
        <f>'202601'!E17</f>
        <v>4.0999999999999996</v>
      </c>
      <c r="F17" s="53">
        <f>'202602'!E17</f>
        <v>7.1</v>
      </c>
      <c r="G17" s="54">
        <f>'202603'!E17</f>
        <v>5.9</v>
      </c>
      <c r="H17" s="54">
        <f>'202604'!E17</f>
        <v>4</v>
      </c>
      <c r="I17" s="54">
        <f>'202605'!E17</f>
        <v>4.9000000000000004</v>
      </c>
      <c r="J17" s="54">
        <f>'202606'!E17</f>
        <v>4.9000000000000004</v>
      </c>
      <c r="K17" s="53">
        <f>'202607'!E17</f>
        <v>3.7</v>
      </c>
      <c r="L17" s="53">
        <f>'202608'!E17</f>
        <v>5.0999999999999996</v>
      </c>
      <c r="M17" s="53">
        <f>'202609'!E17</f>
        <v>3.45</v>
      </c>
      <c r="N17" s="23"/>
      <c r="O17" s="23"/>
      <c r="P17" s="38"/>
      <c r="Q17" s="55">
        <f t="shared" si="3"/>
        <v>7.1</v>
      </c>
      <c r="R17" s="55">
        <f t="shared" si="0"/>
        <v>3.45</v>
      </c>
      <c r="S17" s="55">
        <f t="shared" si="1"/>
        <v>4.7944444444444452</v>
      </c>
      <c r="T17" s="56">
        <f t="shared" si="2"/>
        <v>1.1603998353058178</v>
      </c>
      <c r="U17" s="86" t="str">
        <f t="shared" si="4"/>
        <v>보통</v>
      </c>
    </row>
    <row r="18" spans="1:21" ht="20.100000000000001" customHeight="1" x14ac:dyDescent="0.3">
      <c r="A18" s="18">
        <v>24</v>
      </c>
      <c r="B18" s="110"/>
      <c r="C18" s="1" t="s">
        <v>17</v>
      </c>
      <c r="D18" s="33" t="s">
        <v>57</v>
      </c>
      <c r="E18" s="53">
        <f>'202601'!E18</f>
        <v>3.9</v>
      </c>
      <c r="F18" s="53">
        <f>'202602'!E18</f>
        <v>7.1</v>
      </c>
      <c r="G18" s="54">
        <f>'202603'!E18</f>
        <v>5.9</v>
      </c>
      <c r="H18" s="54">
        <f>'202604'!E18</f>
        <v>4</v>
      </c>
      <c r="I18" s="54">
        <f>'202605'!E18</f>
        <v>5.2</v>
      </c>
      <c r="J18" s="54">
        <f>'202606'!E18</f>
        <v>4.7</v>
      </c>
      <c r="K18" s="53">
        <f>'202607'!E18</f>
        <v>3.7</v>
      </c>
      <c r="L18" s="53">
        <f>'202608'!E18</f>
        <v>5</v>
      </c>
      <c r="M18" s="53">
        <f>'202609'!E18</f>
        <v>3.35</v>
      </c>
      <c r="N18" s="23"/>
      <c r="O18" s="23"/>
      <c r="P18" s="38"/>
      <c r="Q18" s="55">
        <f t="shared" si="3"/>
        <v>7.1</v>
      </c>
      <c r="R18" s="55">
        <f t="shared" si="0"/>
        <v>3.35</v>
      </c>
      <c r="S18" s="55">
        <f t="shared" si="1"/>
        <v>4.7611111111111111</v>
      </c>
      <c r="T18" s="56">
        <f t="shared" si="2"/>
        <v>1.1968128972864178</v>
      </c>
      <c r="U18" s="86" t="str">
        <f t="shared" si="4"/>
        <v>보통</v>
      </c>
    </row>
    <row r="19" spans="1:21" ht="20.100000000000001" customHeight="1" x14ac:dyDescent="0.3">
      <c r="A19" s="18">
        <v>25</v>
      </c>
      <c r="B19" s="1" t="s">
        <v>113</v>
      </c>
      <c r="C19" s="1" t="s">
        <v>36</v>
      </c>
      <c r="D19" s="33" t="s">
        <v>58</v>
      </c>
      <c r="E19" s="53">
        <f>'202601'!E19</f>
        <v>2.2000000000000002</v>
      </c>
      <c r="F19" s="53">
        <f>'202602'!E19</f>
        <v>4.7</v>
      </c>
      <c r="G19" s="54">
        <f>'202603'!E19</f>
        <v>5.6</v>
      </c>
      <c r="H19" s="54">
        <f>'202604'!E19</f>
        <v>5</v>
      </c>
      <c r="I19" s="54">
        <f>'202605'!E19</f>
        <v>1.8</v>
      </c>
      <c r="J19" s="54">
        <f>'202606'!E19</f>
        <v>1.9</v>
      </c>
      <c r="K19" s="53">
        <f>'202607'!E19</f>
        <v>2.14</v>
      </c>
      <c r="L19" s="53">
        <f>'202608'!E19</f>
        <v>2.5</v>
      </c>
      <c r="M19" s="53">
        <f>'202609'!E19</f>
        <v>1.7</v>
      </c>
      <c r="N19" s="23"/>
      <c r="O19" s="23"/>
      <c r="P19" s="38"/>
      <c r="Q19" s="55">
        <f t="shared" si="3"/>
        <v>5.6</v>
      </c>
      <c r="R19" s="55">
        <f t="shared" si="0"/>
        <v>1.7</v>
      </c>
      <c r="S19" s="55">
        <f t="shared" si="1"/>
        <v>3.06</v>
      </c>
      <c r="T19" s="56">
        <f t="shared" si="2"/>
        <v>1.5647363995254913</v>
      </c>
      <c r="U19" s="86" t="str">
        <f t="shared" si="4"/>
        <v>약간좋음</v>
      </c>
    </row>
    <row r="20" spans="1:21" ht="20.100000000000001" customHeight="1" x14ac:dyDescent="0.3">
      <c r="A20" s="18">
        <v>26</v>
      </c>
      <c r="B20" s="108" t="s">
        <v>114</v>
      </c>
      <c r="C20" s="1" t="s">
        <v>42</v>
      </c>
      <c r="D20" s="33" t="s">
        <v>93</v>
      </c>
      <c r="E20" s="53">
        <f>'202601'!E20</f>
        <v>13.5</v>
      </c>
      <c r="F20" s="53">
        <f>'202602'!E20</f>
        <v>4.4000000000000004</v>
      </c>
      <c r="G20" s="54">
        <f>'202603'!E20</f>
        <v>2.75</v>
      </c>
      <c r="H20" s="54">
        <f>'202604'!E20</f>
        <v>2.2999999999999998</v>
      </c>
      <c r="I20" s="54">
        <f>'202605'!E20</f>
        <v>4</v>
      </c>
      <c r="J20" s="54">
        <f>'202606'!E20</f>
        <v>3.4</v>
      </c>
      <c r="K20" s="53">
        <f>'202607'!E20</f>
        <v>2.8</v>
      </c>
      <c r="L20" s="53">
        <f>'202608'!E20</f>
        <v>2.8</v>
      </c>
      <c r="M20" s="53">
        <f>'202609'!E20</f>
        <v>2.73</v>
      </c>
      <c r="N20" s="23"/>
      <c r="O20" s="23"/>
      <c r="P20" s="38"/>
      <c r="Q20" s="55">
        <f t="shared" si="3"/>
        <v>13.5</v>
      </c>
      <c r="R20" s="55">
        <f t="shared" si="0"/>
        <v>2.2999999999999998</v>
      </c>
      <c r="S20" s="55">
        <f t="shared" si="1"/>
        <v>4.2977777777777773</v>
      </c>
      <c r="T20" s="56">
        <f t="shared" si="2"/>
        <v>3.5163431920738977</v>
      </c>
      <c r="U20" s="86" t="str">
        <f t="shared" si="4"/>
        <v>보통</v>
      </c>
    </row>
    <row r="21" spans="1:21" ht="20.100000000000001" customHeight="1" x14ac:dyDescent="0.3">
      <c r="A21" s="18">
        <v>27</v>
      </c>
      <c r="B21" s="109"/>
      <c r="C21" s="1" t="s">
        <v>18</v>
      </c>
      <c r="D21" s="33" t="s">
        <v>95</v>
      </c>
      <c r="E21" s="53">
        <f>'202601'!E21</f>
        <v>2.2999999999999998</v>
      </c>
      <c r="F21" s="53">
        <f>'202602'!E21</f>
        <v>3.2</v>
      </c>
      <c r="G21" s="54">
        <f>'202603'!E21</f>
        <v>4.67</v>
      </c>
      <c r="H21" s="54">
        <f>'202604'!E21</f>
        <v>3.2</v>
      </c>
      <c r="I21" s="54">
        <f>'202605'!E21</f>
        <v>4.5999999999999996</v>
      </c>
      <c r="J21" s="54">
        <f>'202606'!E21</f>
        <v>4</v>
      </c>
      <c r="K21" s="53">
        <f>'202607'!E21</f>
        <v>3.3</v>
      </c>
      <c r="L21" s="53">
        <f>'202608'!E21</f>
        <v>3.4</v>
      </c>
      <c r="M21" s="53">
        <f>'202609'!E21</f>
        <v>3.48</v>
      </c>
      <c r="N21" s="23"/>
      <c r="O21" s="23"/>
      <c r="P21" s="38"/>
      <c r="Q21" s="55">
        <f t="shared" si="3"/>
        <v>4.67</v>
      </c>
      <c r="R21" s="55">
        <f t="shared" si="0"/>
        <v>2.2999999999999998</v>
      </c>
      <c r="S21" s="55">
        <f t="shared" si="1"/>
        <v>3.572222222222222</v>
      </c>
      <c r="T21" s="56">
        <f t="shared" si="2"/>
        <v>0.7460190643974498</v>
      </c>
      <c r="U21" s="86" t="str">
        <f t="shared" si="4"/>
        <v>약간좋음</v>
      </c>
    </row>
    <row r="22" spans="1:21" ht="20.100000000000001" customHeight="1" x14ac:dyDescent="0.3">
      <c r="A22" s="18">
        <v>28</v>
      </c>
      <c r="B22" s="109"/>
      <c r="C22" s="1" t="s">
        <v>19</v>
      </c>
      <c r="D22" s="33" t="s">
        <v>94</v>
      </c>
      <c r="E22" s="53">
        <f>'202601'!E22</f>
        <v>7</v>
      </c>
      <c r="F22" s="53">
        <f>'202602'!E22</f>
        <v>3.9</v>
      </c>
      <c r="G22" s="54">
        <f>'202603'!E22</f>
        <v>5.57</v>
      </c>
      <c r="H22" s="54">
        <f>'202604'!E22</f>
        <v>7.5</v>
      </c>
      <c r="I22" s="54">
        <f>'202605'!E22</f>
        <v>6.8</v>
      </c>
      <c r="J22" s="54">
        <f>'202606'!E22</f>
        <v>4.2</v>
      </c>
      <c r="K22" s="53">
        <f>'202607'!E22</f>
        <v>4.2</v>
      </c>
      <c r="L22" s="53">
        <f>'202608'!E22</f>
        <v>5.4</v>
      </c>
      <c r="M22" s="53">
        <f>'202609'!E22</f>
        <v>7.6</v>
      </c>
      <c r="N22" s="23"/>
      <c r="O22" s="23"/>
      <c r="P22" s="38"/>
      <c r="Q22" s="55">
        <f>MAX(E22:P22)</f>
        <v>7.6</v>
      </c>
      <c r="R22" s="55">
        <f t="shared" si="0"/>
        <v>3.9</v>
      </c>
      <c r="S22" s="55">
        <f t="shared" si="1"/>
        <v>5.7966666666666669</v>
      </c>
      <c r="T22" s="56">
        <f t="shared" si="2"/>
        <v>1.4795607456268891</v>
      </c>
      <c r="U22" s="86" t="str">
        <f t="shared" si="4"/>
        <v>약간나쁨</v>
      </c>
    </row>
    <row r="23" spans="1:21" ht="20.100000000000001" customHeight="1" x14ac:dyDescent="0.3">
      <c r="A23" s="18">
        <v>29</v>
      </c>
      <c r="B23" s="109"/>
      <c r="C23" s="1" t="s">
        <v>63</v>
      </c>
      <c r="D23" s="33" t="s">
        <v>59</v>
      </c>
      <c r="E23" s="53">
        <f>'202601'!E23</f>
        <v>4.9000000000000004</v>
      </c>
      <c r="F23" s="53">
        <f>'202602'!E23</f>
        <v>4.9000000000000004</v>
      </c>
      <c r="G23" s="54">
        <f>'202603'!E23</f>
        <v>5.65</v>
      </c>
      <c r="H23" s="54">
        <f>'202604'!E23</f>
        <v>7.3</v>
      </c>
      <c r="I23" s="54">
        <f>'202605'!E23</f>
        <v>5.9</v>
      </c>
      <c r="J23" s="54">
        <f>'202606'!E23</f>
        <v>4.5</v>
      </c>
      <c r="K23" s="53">
        <f>'202607'!E23</f>
        <v>3.7</v>
      </c>
      <c r="L23" s="53">
        <f>'202608'!E23</f>
        <v>5.7</v>
      </c>
      <c r="M23" s="53">
        <f>'202609'!E23</f>
        <v>6.52</v>
      </c>
      <c r="N23" s="23"/>
      <c r="O23" s="23"/>
      <c r="P23" s="38"/>
      <c r="Q23" s="55">
        <f t="shared" si="3"/>
        <v>7.3</v>
      </c>
      <c r="R23" s="55">
        <f t="shared" si="0"/>
        <v>3.7</v>
      </c>
      <c r="S23" s="55">
        <f t="shared" si="1"/>
        <v>5.4522222222222227</v>
      </c>
      <c r="T23" s="56">
        <f t="shared" si="2"/>
        <v>1.0864135697074273</v>
      </c>
      <c r="U23" s="86" t="str">
        <f t="shared" si="4"/>
        <v>약간나쁨</v>
      </c>
    </row>
    <row r="24" spans="1:21" ht="20.100000000000001" customHeight="1" x14ac:dyDescent="0.3">
      <c r="A24" s="18">
        <v>30</v>
      </c>
      <c r="B24" s="109"/>
      <c r="C24" s="1" t="s">
        <v>87</v>
      </c>
      <c r="D24" s="33" t="s">
        <v>88</v>
      </c>
      <c r="E24" s="53">
        <f>'202601'!E24</f>
        <v>4.5999999999999996</v>
      </c>
      <c r="F24" s="53">
        <f>'202602'!E24</f>
        <v>3.2</v>
      </c>
      <c r="G24" s="54">
        <f>'202603'!E24</f>
        <v>5.79</v>
      </c>
      <c r="H24" s="54">
        <f>'202604'!E24</f>
        <v>4.9000000000000004</v>
      </c>
      <c r="I24" s="54">
        <f>'202605'!E24</f>
        <v>6.7</v>
      </c>
      <c r="J24" s="54">
        <f>'202606'!E24</f>
        <v>3.5</v>
      </c>
      <c r="K24" s="53">
        <f>'202607'!E24</f>
        <v>2.9</v>
      </c>
      <c r="L24" s="53">
        <f>'202608'!E24</f>
        <v>1.8</v>
      </c>
      <c r="M24" s="53">
        <f>'202609'!E24</f>
        <v>5.95</v>
      </c>
      <c r="N24" s="23"/>
      <c r="O24" s="23"/>
      <c r="P24" s="38"/>
      <c r="Q24" s="55">
        <f t="shared" si="3"/>
        <v>6.7</v>
      </c>
      <c r="R24" s="55">
        <f t="shared" si="0"/>
        <v>1.8</v>
      </c>
      <c r="S24" s="55">
        <f t="shared" si="1"/>
        <v>4.3711111111111114</v>
      </c>
      <c r="T24" s="56">
        <f t="shared" si="2"/>
        <v>1.6266179979058104</v>
      </c>
      <c r="U24" s="86" t="str">
        <f t="shared" si="4"/>
        <v>보통</v>
      </c>
    </row>
    <row r="25" spans="1:21" ht="20.100000000000001" customHeight="1" x14ac:dyDescent="0.3">
      <c r="A25" s="18">
        <v>31</v>
      </c>
      <c r="B25" s="109"/>
      <c r="C25" s="1" t="s">
        <v>20</v>
      </c>
      <c r="D25" s="33" t="s">
        <v>60</v>
      </c>
      <c r="E25" s="53">
        <f>'202601'!E25</f>
        <v>4.4000000000000004</v>
      </c>
      <c r="F25" s="53">
        <f>'202602'!E25</f>
        <v>5.0999999999999996</v>
      </c>
      <c r="G25" s="54">
        <f>'202603'!E25</f>
        <v>5.48</v>
      </c>
      <c r="H25" s="54">
        <f>'202604'!E25</f>
        <v>7.9</v>
      </c>
      <c r="I25" s="54">
        <f>'202605'!E25</f>
        <v>6.1</v>
      </c>
      <c r="J25" s="54">
        <f>'202606'!E25</f>
        <v>3.7</v>
      </c>
      <c r="K25" s="53">
        <f>'202607'!E25</f>
        <v>3.5</v>
      </c>
      <c r="L25" s="53">
        <f>'202608'!E25</f>
        <v>5.4</v>
      </c>
      <c r="M25" s="53">
        <f>'202609'!E25</f>
        <v>5.88</v>
      </c>
      <c r="N25" s="23"/>
      <c r="O25" s="23"/>
      <c r="P25" s="38"/>
      <c r="Q25" s="55">
        <f t="shared" si="3"/>
        <v>7.9</v>
      </c>
      <c r="R25" s="55">
        <f t="shared" si="0"/>
        <v>3.5</v>
      </c>
      <c r="S25" s="55">
        <f t="shared" si="1"/>
        <v>5.2733333333333343</v>
      </c>
      <c r="T25" s="56">
        <f t="shared" si="2"/>
        <v>1.3426838793997591</v>
      </c>
      <c r="U25" s="86" t="str">
        <f t="shared" si="4"/>
        <v>약간나쁨</v>
      </c>
    </row>
    <row r="26" spans="1:21" ht="16.5" customHeight="1" x14ac:dyDescent="0.3">
      <c r="A26" s="18">
        <v>32</v>
      </c>
      <c r="B26" s="109"/>
      <c r="C26" s="1" t="s">
        <v>21</v>
      </c>
      <c r="D26" s="33" t="s">
        <v>91</v>
      </c>
      <c r="E26" s="53">
        <f>'202601'!E26</f>
        <v>3.52</v>
      </c>
      <c r="F26" s="53">
        <f>'202602'!E26</f>
        <v>4.5</v>
      </c>
      <c r="G26" s="54">
        <f>'202603'!E26</f>
        <v>4.92</v>
      </c>
      <c r="H26" s="54">
        <f>'202604'!E26</f>
        <v>5.6</v>
      </c>
      <c r="I26" s="54">
        <f>'202605'!E26</f>
        <v>5.5</v>
      </c>
      <c r="J26" s="54">
        <f>'202606'!E26</f>
        <v>3.3</v>
      </c>
      <c r="K26" s="53">
        <f>'202607'!E26</f>
        <v>3.9</v>
      </c>
      <c r="L26" s="53">
        <f>'202608'!E26</f>
        <v>5.5</v>
      </c>
      <c r="M26" s="53">
        <f>'202609'!E26</f>
        <v>4.5999999999999996</v>
      </c>
      <c r="N26" s="23"/>
      <c r="O26" s="23"/>
      <c r="P26" s="38"/>
      <c r="Q26" s="55">
        <f t="shared" si="3"/>
        <v>5.6</v>
      </c>
      <c r="R26" s="55">
        <f t="shared" si="0"/>
        <v>3.3</v>
      </c>
      <c r="S26" s="55">
        <f t="shared" si="1"/>
        <v>4.5933333333333328</v>
      </c>
      <c r="T26" s="56">
        <f t="shared" si="2"/>
        <v>0.87166507329363929</v>
      </c>
      <c r="U26" s="86" t="str">
        <f t="shared" si="4"/>
        <v>보통</v>
      </c>
    </row>
    <row r="27" spans="1:21" ht="20.100000000000001" customHeight="1" x14ac:dyDescent="0.3">
      <c r="A27" s="18">
        <v>33</v>
      </c>
      <c r="B27" s="109"/>
      <c r="C27" s="1" t="s">
        <v>22</v>
      </c>
      <c r="D27" s="33" t="s">
        <v>61</v>
      </c>
      <c r="E27" s="53">
        <f>'202601'!E27</f>
        <v>6.29</v>
      </c>
      <c r="F27" s="53">
        <f>'202602'!E27</f>
        <v>6.3</v>
      </c>
      <c r="G27" s="54">
        <f>'202603'!E27</f>
        <v>7.02</v>
      </c>
      <c r="H27" s="54">
        <f>'202604'!E27</f>
        <v>8.1</v>
      </c>
      <c r="I27" s="54">
        <f>'202605'!E27</f>
        <v>6.4</v>
      </c>
      <c r="J27" s="54">
        <f>'202606'!E27</f>
        <v>3.9</v>
      </c>
      <c r="K27" s="53">
        <f>'202607'!E27</f>
        <v>5</v>
      </c>
      <c r="L27" s="53">
        <f>'202608'!E27</f>
        <v>6.9</v>
      </c>
      <c r="M27" s="53">
        <f>'202609'!E27</f>
        <v>4.9000000000000004</v>
      </c>
      <c r="N27" s="23"/>
      <c r="O27" s="23"/>
      <c r="P27" s="38"/>
      <c r="Q27" s="55">
        <f t="shared" si="3"/>
        <v>8.1</v>
      </c>
      <c r="R27" s="57">
        <f t="shared" si="0"/>
        <v>3.9</v>
      </c>
      <c r="S27" s="58">
        <f>AVERAGE(E27:P27)</f>
        <v>6.09</v>
      </c>
      <c r="T27" s="56">
        <f t="shared" si="2"/>
        <v>1.2816785868539788</v>
      </c>
      <c r="U27" s="86" t="str">
        <f t="shared" si="4"/>
        <v>나쁨</v>
      </c>
    </row>
    <row r="28" spans="1:21" ht="20.100000000000001" customHeight="1" x14ac:dyDescent="0.3">
      <c r="A28" s="18">
        <v>34</v>
      </c>
      <c r="B28" s="109"/>
      <c r="C28" s="1" t="s">
        <v>23</v>
      </c>
      <c r="D28" s="33" t="s">
        <v>24</v>
      </c>
      <c r="E28" s="53">
        <f>'202601'!E28</f>
        <v>8.9700000000000006</v>
      </c>
      <c r="F28" s="53">
        <f>'202602'!E28</f>
        <v>7.5</v>
      </c>
      <c r="G28" s="54">
        <f>'202603'!E28</f>
        <v>10.81</v>
      </c>
      <c r="H28" s="54">
        <f>'202604'!E28</f>
        <v>10.199999999999999</v>
      </c>
      <c r="I28" s="54">
        <f>'202605'!E28</f>
        <v>7.1</v>
      </c>
      <c r="J28" s="54">
        <f>'202606'!E28</f>
        <v>4.2</v>
      </c>
      <c r="K28" s="53">
        <f>'202607'!E28</f>
        <v>4.2</v>
      </c>
      <c r="L28" s="53">
        <f>'202608'!E28</f>
        <v>6.9</v>
      </c>
      <c r="M28" s="53">
        <f>'202609'!E28</f>
        <v>5.3</v>
      </c>
      <c r="N28" s="23"/>
      <c r="O28" s="23"/>
      <c r="P28" s="38"/>
      <c r="Q28" s="55">
        <f t="shared" si="3"/>
        <v>10.81</v>
      </c>
      <c r="R28" s="55">
        <f t="shared" si="0"/>
        <v>4.2</v>
      </c>
      <c r="S28" s="58">
        <f>AVERAGE(E28:P28)</f>
        <v>7.2422222222222228</v>
      </c>
      <c r="T28" s="56">
        <f t="shared" si="2"/>
        <v>2.4225233630337675</v>
      </c>
      <c r="U28" s="86" t="str">
        <f t="shared" si="4"/>
        <v>나쁨</v>
      </c>
    </row>
    <row r="29" spans="1:21" ht="20.100000000000001" customHeight="1" x14ac:dyDescent="0.3">
      <c r="A29" s="18">
        <v>35</v>
      </c>
      <c r="B29" s="109"/>
      <c r="C29" s="1" t="s">
        <v>64</v>
      </c>
      <c r="D29" s="33" t="s">
        <v>89</v>
      </c>
      <c r="E29" s="53">
        <f>'202601'!E29</f>
        <v>8.06</v>
      </c>
      <c r="F29" s="53">
        <f>'202602'!E29</f>
        <v>6.9</v>
      </c>
      <c r="G29" s="54">
        <f>'202603'!E29</f>
        <v>8.67</v>
      </c>
      <c r="H29" s="54">
        <f>'202604'!E29</f>
        <v>9.6999999999999993</v>
      </c>
      <c r="I29" s="54">
        <f>'202605'!E29</f>
        <v>6.1</v>
      </c>
      <c r="J29" s="54">
        <f>'202606'!E29</f>
        <v>5.0999999999999996</v>
      </c>
      <c r="K29" s="53">
        <f>'202607'!E29</f>
        <v>4.5999999999999996</v>
      </c>
      <c r="L29" s="53">
        <f>'202608'!E29</f>
        <v>7.5</v>
      </c>
      <c r="M29" s="53">
        <f>'202609'!E29</f>
        <v>6.1</v>
      </c>
      <c r="N29" s="23"/>
      <c r="O29" s="23"/>
      <c r="P29" s="38"/>
      <c r="Q29" s="55">
        <f t="shared" si="3"/>
        <v>9.6999999999999993</v>
      </c>
      <c r="R29" s="55">
        <f t="shared" si="0"/>
        <v>4.5999999999999996</v>
      </c>
      <c r="S29" s="55">
        <f>AVERAGE(E29:P29)</f>
        <v>6.9700000000000006</v>
      </c>
      <c r="T29" s="56">
        <f t="shared" si="2"/>
        <v>1.6749776117906738</v>
      </c>
      <c r="U29" s="86" t="str">
        <f t="shared" si="4"/>
        <v>나쁨</v>
      </c>
    </row>
    <row r="30" spans="1:21" ht="20.100000000000001" customHeight="1" x14ac:dyDescent="0.3">
      <c r="A30" s="18">
        <v>36</v>
      </c>
      <c r="B30" s="109"/>
      <c r="C30" s="1" t="s">
        <v>27</v>
      </c>
      <c r="D30" s="33" t="s">
        <v>62</v>
      </c>
      <c r="E30" s="53">
        <f>'202601'!E30</f>
        <v>9.1</v>
      </c>
      <c r="F30" s="53">
        <f>'202602'!E30</f>
        <v>8.5</v>
      </c>
      <c r="G30" s="54">
        <f>'202603'!E30</f>
        <v>8.6</v>
      </c>
      <c r="H30" s="54">
        <f>'202604'!E30</f>
        <v>7.8</v>
      </c>
      <c r="I30" s="54">
        <f>'202605'!E30</f>
        <v>5.9</v>
      </c>
      <c r="J30" s="54">
        <f>'202606'!E30</f>
        <v>4.9000000000000004</v>
      </c>
      <c r="K30" s="53">
        <f>'202607'!E30</f>
        <v>4.09</v>
      </c>
      <c r="L30" s="53">
        <f>'202608'!E30</f>
        <v>5.6</v>
      </c>
      <c r="M30" s="53">
        <f>'202609'!E30</f>
        <v>6.6</v>
      </c>
      <c r="N30" s="23"/>
      <c r="O30" s="23"/>
      <c r="P30" s="38"/>
      <c r="Q30" s="55">
        <f t="shared" si="3"/>
        <v>9.1</v>
      </c>
      <c r="R30" s="55">
        <f t="shared" si="0"/>
        <v>4.09</v>
      </c>
      <c r="S30" s="55">
        <f t="shared" si="1"/>
        <v>6.7877777777777784</v>
      </c>
      <c r="T30" s="56">
        <f t="shared" si="2"/>
        <v>1.7910456288002361</v>
      </c>
      <c r="U30" s="86" t="str">
        <f t="shared" si="4"/>
        <v>나쁨</v>
      </c>
    </row>
    <row r="31" spans="1:21" s="20" customFormat="1" ht="20.100000000000001" customHeight="1" x14ac:dyDescent="0.3">
      <c r="A31" s="18">
        <v>37</v>
      </c>
      <c r="B31" s="109"/>
      <c r="C31" s="1" t="s">
        <v>25</v>
      </c>
      <c r="D31" s="33" t="s">
        <v>26</v>
      </c>
      <c r="E31" s="53">
        <f>'202601'!E31</f>
        <v>8.9</v>
      </c>
      <c r="F31" s="53">
        <f>'202602'!E31</f>
        <v>8.1999999999999993</v>
      </c>
      <c r="G31" s="54">
        <f>'202603'!E31</f>
        <v>8.6</v>
      </c>
      <c r="H31" s="54">
        <f>'202604'!E31</f>
        <v>7.5</v>
      </c>
      <c r="I31" s="54">
        <f>'202605'!E31</f>
        <v>5.6</v>
      </c>
      <c r="J31" s="54">
        <f>'202606'!E31</f>
        <v>4.8</v>
      </c>
      <c r="K31" s="53">
        <f>'202607'!E31</f>
        <v>3.99</v>
      </c>
      <c r="L31" s="53">
        <f>'202608'!E31</f>
        <v>5.4</v>
      </c>
      <c r="M31" s="53">
        <f>'202609'!E31</f>
        <v>6.4</v>
      </c>
      <c r="N31" s="23"/>
      <c r="O31" s="23"/>
      <c r="P31" s="38"/>
      <c r="Q31" s="55">
        <f t="shared" si="3"/>
        <v>8.9</v>
      </c>
      <c r="R31" s="55">
        <f t="shared" si="0"/>
        <v>3.99</v>
      </c>
      <c r="S31" s="55">
        <f t="shared" si="1"/>
        <v>6.5988888888888892</v>
      </c>
      <c r="T31" s="56">
        <f t="shared" si="2"/>
        <v>1.7745453251780039</v>
      </c>
      <c r="U31" s="86" t="str">
        <f t="shared" si="4"/>
        <v>나쁨</v>
      </c>
    </row>
    <row r="32" spans="1:21" s="20" customFormat="1" ht="20.100000000000001" customHeight="1" x14ac:dyDescent="0.3">
      <c r="A32" s="18">
        <v>38</v>
      </c>
      <c r="B32" s="110"/>
      <c r="C32" s="1" t="s">
        <v>28</v>
      </c>
      <c r="D32" s="33" t="s">
        <v>90</v>
      </c>
      <c r="E32" s="53">
        <f>'202601'!E32</f>
        <v>8.1999999999999993</v>
      </c>
      <c r="F32" s="53">
        <f>'202602'!E32</f>
        <v>6.5</v>
      </c>
      <c r="G32" s="54">
        <f>'202603'!E32</f>
        <v>7.3</v>
      </c>
      <c r="H32" s="54">
        <f>'202604'!E32</f>
        <v>7.3</v>
      </c>
      <c r="I32" s="54">
        <f>'202605'!E32</f>
        <v>5.4</v>
      </c>
      <c r="J32" s="54">
        <f>'202606'!E32</f>
        <v>4.4000000000000004</v>
      </c>
      <c r="K32" s="53">
        <f>'202607'!E32</f>
        <v>3.85</v>
      </c>
      <c r="L32" s="53">
        <f>'202608'!E32</f>
        <v>5.7</v>
      </c>
      <c r="M32" s="53">
        <f>'202609'!E32</f>
        <v>6</v>
      </c>
      <c r="N32" s="23"/>
      <c r="O32" s="23"/>
      <c r="P32" s="38"/>
      <c r="Q32" s="55">
        <f t="shared" si="3"/>
        <v>8.1999999999999993</v>
      </c>
      <c r="R32" s="55">
        <f t="shared" si="0"/>
        <v>3.85</v>
      </c>
      <c r="S32" s="58">
        <f>AVERAGE(E32:P32)</f>
        <v>6.0722222222222229</v>
      </c>
      <c r="T32" s="56">
        <f t="shared" si="2"/>
        <v>1.4166666666666636</v>
      </c>
      <c r="U32" s="86" t="str">
        <f t="shared" si="4"/>
        <v>나쁨</v>
      </c>
    </row>
    <row r="33" spans="1:21" ht="20.100000000000001" customHeight="1" x14ac:dyDescent="0.3">
      <c r="A33" s="18">
        <v>39</v>
      </c>
      <c r="B33" s="1" t="s">
        <v>115</v>
      </c>
      <c r="C33" s="1" t="s">
        <v>43</v>
      </c>
      <c r="D33" s="33" t="s">
        <v>30</v>
      </c>
      <c r="E33" s="53">
        <f>'202601'!E33</f>
        <v>25.4</v>
      </c>
      <c r="F33" s="53">
        <f>'202602'!E33</f>
        <v>6.7</v>
      </c>
      <c r="G33" s="54">
        <f>'202603'!E33</f>
        <v>10.55</v>
      </c>
      <c r="H33" s="54">
        <f>'202604'!E33</f>
        <v>22.2</v>
      </c>
      <c r="I33" s="103">
        <f>'202605'!E33</f>
        <v>11</v>
      </c>
      <c r="J33" s="54">
        <f>'202606'!E33</f>
        <v>4.5999999999999996</v>
      </c>
      <c r="K33" s="53">
        <f>'202607'!E33</f>
        <v>4.4000000000000004</v>
      </c>
      <c r="L33" s="53">
        <f>'202608'!E33</f>
        <v>1.3</v>
      </c>
      <c r="M33" s="53">
        <f>'202609'!E33</f>
        <v>3.92</v>
      </c>
      <c r="N33" s="23"/>
      <c r="O33" s="23"/>
      <c r="P33" s="38"/>
      <c r="Q33" s="55">
        <f t="shared" si="3"/>
        <v>25.4</v>
      </c>
      <c r="R33" s="55">
        <f t="shared" si="0"/>
        <v>1.3</v>
      </c>
      <c r="S33" s="55">
        <f t="shared" si="1"/>
        <v>10.007777777777779</v>
      </c>
      <c r="T33" s="56">
        <f t="shared" si="2"/>
        <v>8.4510972331670899</v>
      </c>
      <c r="U33" s="86" t="str">
        <f t="shared" si="4"/>
        <v>매우나쁨</v>
      </c>
    </row>
    <row r="34" spans="1:21" ht="20.100000000000001" customHeight="1" x14ac:dyDescent="0.3">
      <c r="A34" s="18">
        <v>44</v>
      </c>
      <c r="B34" s="1" t="s">
        <v>116</v>
      </c>
      <c r="C34" s="1" t="s">
        <v>31</v>
      </c>
      <c r="D34" s="33" t="s">
        <v>32</v>
      </c>
      <c r="E34" s="53">
        <f>'202601'!E34</f>
        <v>18.399999999999999</v>
      </c>
      <c r="F34" s="53">
        <f>'202602'!E34</f>
        <v>4.7</v>
      </c>
      <c r="G34" s="54">
        <f>'202603'!E34</f>
        <v>11.51</v>
      </c>
      <c r="H34" s="54">
        <f>'202604'!E34</f>
        <v>15.3</v>
      </c>
      <c r="I34" s="54">
        <f>'202605'!E34</f>
        <v>13</v>
      </c>
      <c r="J34" s="54">
        <f>'202606'!E34</f>
        <v>5</v>
      </c>
      <c r="K34" s="53">
        <f>'202607'!E34</f>
        <v>6.1</v>
      </c>
      <c r="L34" s="53">
        <f>'202608'!E34</f>
        <v>7.8</v>
      </c>
      <c r="M34" s="116">
        <f>'202609'!E34</f>
        <v>29.35</v>
      </c>
      <c r="N34" s="23"/>
      <c r="O34" s="23"/>
      <c r="P34" s="38"/>
      <c r="Q34" s="55">
        <f t="shared" si="3"/>
        <v>29.35</v>
      </c>
      <c r="R34" s="55">
        <f t="shared" si="0"/>
        <v>4.7</v>
      </c>
      <c r="S34" s="55">
        <f>AVERAGE(E34:P34)</f>
        <v>12.351111111111111</v>
      </c>
      <c r="T34" s="56">
        <f t="shared" si="2"/>
        <v>7.9666734658269487</v>
      </c>
      <c r="U34" s="86" t="str">
        <f t="shared" si="4"/>
        <v>매우나쁨</v>
      </c>
    </row>
    <row r="35" spans="1:21" ht="20.100000000000001" customHeight="1" x14ac:dyDescent="0.3">
      <c r="A35" s="18">
        <v>46</v>
      </c>
      <c r="B35" s="1" t="s">
        <v>117</v>
      </c>
      <c r="C35" s="1" t="s">
        <v>103</v>
      </c>
      <c r="D35" s="33" t="s">
        <v>122</v>
      </c>
      <c r="E35" s="53">
        <f>'202601'!E35</f>
        <v>4</v>
      </c>
      <c r="F35" s="53">
        <f>'202602'!E35</f>
        <v>3.5</v>
      </c>
      <c r="G35" s="54">
        <f>'202603'!E35</f>
        <v>2.7</v>
      </c>
      <c r="H35" s="54">
        <f>'202604'!E35</f>
        <v>19.3</v>
      </c>
      <c r="I35" s="103">
        <f>'202605'!E35</f>
        <v>2.7</v>
      </c>
      <c r="J35" s="54">
        <f>'202606'!E35</f>
        <v>2</v>
      </c>
      <c r="K35" s="53">
        <f>'202607'!E35</f>
        <v>3.2</v>
      </c>
      <c r="L35" s="53">
        <f>'202608'!E35</f>
        <v>0.9</v>
      </c>
      <c r="M35" s="53">
        <f>'202609'!E35</f>
        <v>2.93</v>
      </c>
      <c r="N35" s="23"/>
      <c r="O35" s="23"/>
      <c r="P35" s="38"/>
      <c r="Q35" s="55">
        <f t="shared" si="3"/>
        <v>19.3</v>
      </c>
      <c r="R35" s="55">
        <f t="shared" si="0"/>
        <v>0.9</v>
      </c>
      <c r="S35" s="55">
        <f t="shared" si="1"/>
        <v>4.5811111111111114</v>
      </c>
      <c r="T35" s="56">
        <f t="shared" si="2"/>
        <v>5.5910161072126341</v>
      </c>
      <c r="U35" s="86" t="str">
        <f t="shared" si="4"/>
        <v>보통</v>
      </c>
    </row>
    <row r="36" spans="1:21" ht="20.100000000000001" customHeight="1" x14ac:dyDescent="0.3">
      <c r="A36" s="18">
        <v>47</v>
      </c>
      <c r="B36" s="34" t="s">
        <v>118</v>
      </c>
      <c r="C36" s="1" t="s">
        <v>104</v>
      </c>
      <c r="D36" s="33" t="s">
        <v>105</v>
      </c>
      <c r="E36" s="53">
        <f>'202601'!E36</f>
        <v>14.9</v>
      </c>
      <c r="F36" s="53">
        <f>'202602'!E36</f>
        <v>5.6</v>
      </c>
      <c r="G36" s="54">
        <f>'202603'!E36</f>
        <v>4.76</v>
      </c>
      <c r="H36" s="54">
        <f>'202604'!E36</f>
        <v>8.4</v>
      </c>
      <c r="I36" s="54">
        <f>'202605'!E36</f>
        <v>5.8</v>
      </c>
      <c r="J36" s="54">
        <f>'202606'!E36</f>
        <v>2</v>
      </c>
      <c r="K36" s="53">
        <f>'202607'!E36</f>
        <v>3.8</v>
      </c>
      <c r="L36" s="53">
        <f>'202608'!E36</f>
        <v>0.7</v>
      </c>
      <c r="M36" s="53">
        <f>'202609'!E36</f>
        <v>1.87</v>
      </c>
      <c r="N36" s="23"/>
      <c r="O36" s="23"/>
      <c r="P36" s="38"/>
      <c r="Q36" s="55">
        <f t="shared" si="3"/>
        <v>14.9</v>
      </c>
      <c r="R36" s="55">
        <f t="shared" si="0"/>
        <v>0.7</v>
      </c>
      <c r="S36" s="55">
        <f t="shared" si="1"/>
        <v>5.3144444444444439</v>
      </c>
      <c r="T36" s="56">
        <f t="shared" si="2"/>
        <v>4.3079087476149942</v>
      </c>
      <c r="U36" s="86" t="str">
        <f t="shared" si="4"/>
        <v>약간나쁨</v>
      </c>
    </row>
    <row r="37" spans="1:21" ht="20.100000000000001" customHeight="1" x14ac:dyDescent="0.3">
      <c r="A37" s="18">
        <v>49</v>
      </c>
      <c r="B37" s="48" t="s">
        <v>119</v>
      </c>
      <c r="C37" s="1" t="s">
        <v>98</v>
      </c>
      <c r="D37" s="33" t="s">
        <v>99</v>
      </c>
      <c r="E37" s="53">
        <f>'202601'!E37</f>
        <v>6.1</v>
      </c>
      <c r="F37" s="53">
        <f>'202602'!E37</f>
        <v>5</v>
      </c>
      <c r="G37" s="54">
        <f>'202603'!E37</f>
        <v>5.43</v>
      </c>
      <c r="H37" s="54">
        <f>'202604'!E37</f>
        <v>5.4</v>
      </c>
      <c r="I37" s="54">
        <f>'202605'!E37</f>
        <v>4.8</v>
      </c>
      <c r="J37" s="54">
        <f>'202606'!E37</f>
        <v>3.4</v>
      </c>
      <c r="K37" s="53">
        <f>'202607'!E37</f>
        <v>3.4</v>
      </c>
      <c r="L37" s="53">
        <f>'202608'!E37</f>
        <v>3.7</v>
      </c>
      <c r="M37" s="53">
        <f>'202609'!E37</f>
        <v>5.31</v>
      </c>
      <c r="N37" s="23"/>
      <c r="O37" s="23"/>
      <c r="P37" s="38"/>
      <c r="Q37" s="55">
        <f t="shared" si="3"/>
        <v>6.1</v>
      </c>
      <c r="R37" s="55">
        <f t="shared" si="0"/>
        <v>3.4</v>
      </c>
      <c r="S37" s="55">
        <f t="shared" si="1"/>
        <v>4.7266666666666675</v>
      </c>
      <c r="T37" s="56">
        <f t="shared" si="2"/>
        <v>0.98922949814488881</v>
      </c>
      <c r="U37" s="86" t="str">
        <f t="shared" si="4"/>
        <v>보통</v>
      </c>
    </row>
    <row r="38" spans="1:21" ht="20.100000000000001" customHeight="1" x14ac:dyDescent="0.3">
      <c r="A38" s="18">
        <v>50</v>
      </c>
      <c r="B38" s="1" t="s">
        <v>120</v>
      </c>
      <c r="C38" s="1" t="s">
        <v>29</v>
      </c>
      <c r="D38" s="33" t="s">
        <v>80</v>
      </c>
      <c r="E38" s="53">
        <f>'202601'!E38</f>
        <v>2.7</v>
      </c>
      <c r="F38" s="53">
        <f>'202602'!E38</f>
        <v>2.7</v>
      </c>
      <c r="G38" s="54">
        <f>'202603'!E38</f>
        <v>3.7</v>
      </c>
      <c r="H38" s="54">
        <f>'202604'!E38</f>
        <v>2.9</v>
      </c>
      <c r="I38" s="54">
        <f>'202605'!E38</f>
        <v>3.6</v>
      </c>
      <c r="J38" s="54">
        <f>'202606'!E38</f>
        <v>3.6</v>
      </c>
      <c r="K38" s="53">
        <f>'202607'!E38</f>
        <v>2.9</v>
      </c>
      <c r="L38" s="53">
        <f>'202608'!E38</f>
        <v>1.2</v>
      </c>
      <c r="M38" s="53">
        <f>'202609'!E38</f>
        <v>2.95</v>
      </c>
      <c r="N38" s="23"/>
      <c r="O38" s="23"/>
      <c r="P38" s="38"/>
      <c r="Q38" s="55">
        <f t="shared" si="3"/>
        <v>3.7</v>
      </c>
      <c r="R38" s="55">
        <f t="shared" si="0"/>
        <v>1.2</v>
      </c>
      <c r="S38" s="55">
        <f t="shared" si="1"/>
        <v>2.9166666666666665</v>
      </c>
      <c r="T38" s="56">
        <f t="shared" si="2"/>
        <v>0.75746287037715609</v>
      </c>
      <c r="U38" s="86" t="str">
        <f t="shared" si="4"/>
        <v>좋음</v>
      </c>
    </row>
    <row r="39" spans="1:21" ht="19.5" customHeight="1" x14ac:dyDescent="0.3">
      <c r="B39" s="35" t="s">
        <v>121</v>
      </c>
      <c r="C39" s="35" t="s">
        <v>37</v>
      </c>
      <c r="D39" s="33" t="s">
        <v>92</v>
      </c>
      <c r="E39" s="53">
        <f>'202601'!E39</f>
        <v>3.15</v>
      </c>
      <c r="F39" s="53">
        <f>'202602'!E39</f>
        <v>3.7</v>
      </c>
      <c r="G39" s="54">
        <f>'202603'!E39</f>
        <v>4.8899999999999997</v>
      </c>
      <c r="H39" s="54">
        <f>'202604'!E39</f>
        <v>7.4</v>
      </c>
      <c r="I39" s="97">
        <f>'202605'!E39</f>
        <v>20.100000000000001</v>
      </c>
      <c r="J39" s="54">
        <f>'202606'!E39</f>
        <v>5.3</v>
      </c>
      <c r="K39" s="53">
        <f>'202607'!E39</f>
        <v>3.9</v>
      </c>
      <c r="L39" s="53">
        <f>'202608'!E39</f>
        <v>6.6</v>
      </c>
      <c r="M39" s="53">
        <f>'202609'!E39</f>
        <v>3.7</v>
      </c>
      <c r="N39" s="6"/>
      <c r="O39" s="6"/>
      <c r="P39" s="6"/>
      <c r="Q39" s="55">
        <f t="shared" si="3"/>
        <v>20.100000000000001</v>
      </c>
      <c r="R39" s="55">
        <f t="shared" si="0"/>
        <v>3.15</v>
      </c>
      <c r="S39" s="55">
        <f>AVERAGE(E39:P39)</f>
        <v>6.5266666666666673</v>
      </c>
      <c r="T39" s="56">
        <f t="shared" si="2"/>
        <v>5.2852175924932379</v>
      </c>
      <c r="U39" s="86" t="str">
        <f t="shared" si="4"/>
        <v>나쁨</v>
      </c>
    </row>
    <row r="40" spans="1:21" ht="16.5" customHeight="1" x14ac:dyDescent="0.3">
      <c r="C40" s="17"/>
    </row>
    <row r="43" spans="1:21" x14ac:dyDescent="0.3">
      <c r="P43" s="25"/>
    </row>
  </sheetData>
  <mergeCells count="5">
    <mergeCell ref="A1:T1"/>
    <mergeCell ref="B3:B6"/>
    <mergeCell ref="B12:B16"/>
    <mergeCell ref="B17:B18"/>
    <mergeCell ref="B20:B32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6D49-F575-48C8-A087-1EBB281B670A}">
  <sheetPr>
    <tabColor theme="9" tint="0.79998168889431442"/>
  </sheetPr>
  <dimension ref="A1:W43"/>
  <sheetViews>
    <sheetView topLeftCell="B1" zoomScaleNormal="100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M21" activeCellId="1" sqref="M9 M21"/>
    </sheetView>
  </sheetViews>
  <sheetFormatPr defaultRowHeight="14.25" x14ac:dyDescent="0.3"/>
  <cols>
    <col min="1" max="1" width="4.75" style="11" bestFit="1" customWidth="1"/>
    <col min="2" max="2" width="9.125" style="11" customWidth="1"/>
    <col min="3" max="3" width="12.25" style="11" bestFit="1" customWidth="1"/>
    <col min="4" max="4" width="44" style="17" bestFit="1" customWidth="1"/>
    <col min="5" max="5" width="8.125" style="16" customWidth="1"/>
    <col min="6" max="6" width="9.75" style="16" customWidth="1"/>
    <col min="7" max="15" width="8.125" style="16" customWidth="1"/>
    <col min="16" max="16" width="7.5" style="16" customWidth="1"/>
    <col min="17" max="17" width="8.125" style="7" customWidth="1"/>
    <col min="18" max="18" width="12.875" style="11" customWidth="1"/>
    <col min="19" max="20" width="12.875" style="17" customWidth="1"/>
    <col min="21" max="21" width="16.25" style="17" bestFit="1" customWidth="1"/>
    <col min="22" max="16384" width="9" style="17"/>
  </cols>
  <sheetData>
    <row r="1" spans="1:23" ht="35.25" customHeight="1" x14ac:dyDescent="0.3">
      <c r="A1" s="111" t="s">
        <v>128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3" ht="25.5" customHeight="1" x14ac:dyDescent="0.3">
      <c r="A2" s="13" t="s">
        <v>33</v>
      </c>
      <c r="B2" s="14" t="s">
        <v>34</v>
      </c>
      <c r="C2" s="14" t="s">
        <v>0</v>
      </c>
      <c r="D2" s="15" t="s">
        <v>1</v>
      </c>
      <c r="E2" s="47" t="s">
        <v>69</v>
      </c>
      <c r="F2" s="47" t="s">
        <v>70</v>
      </c>
      <c r="G2" s="47" t="s">
        <v>71</v>
      </c>
      <c r="H2" s="47" t="s">
        <v>72</v>
      </c>
      <c r="I2" s="47" t="s">
        <v>73</v>
      </c>
      <c r="J2" s="47" t="s">
        <v>74</v>
      </c>
      <c r="K2" s="47" t="s">
        <v>75</v>
      </c>
      <c r="L2" s="47" t="s">
        <v>68</v>
      </c>
      <c r="M2" s="47" t="s">
        <v>81</v>
      </c>
      <c r="N2" s="47" t="s">
        <v>82</v>
      </c>
      <c r="O2" s="47" t="s">
        <v>83</v>
      </c>
      <c r="P2" s="47" t="s">
        <v>84</v>
      </c>
      <c r="Q2" s="9" t="s">
        <v>78</v>
      </c>
      <c r="R2" s="12" t="s">
        <v>79</v>
      </c>
      <c r="S2" s="12" t="s">
        <v>76</v>
      </c>
      <c r="T2" s="45" t="s">
        <v>77</v>
      </c>
      <c r="U2" s="17" t="s">
        <v>250</v>
      </c>
    </row>
    <row r="3" spans="1:23" ht="20.100000000000001" customHeight="1" x14ac:dyDescent="0.3">
      <c r="A3" s="18">
        <v>2</v>
      </c>
      <c r="B3" s="108" t="s">
        <v>66</v>
      </c>
      <c r="C3" s="1" t="s">
        <v>38</v>
      </c>
      <c r="D3" s="33" t="s">
        <v>46</v>
      </c>
      <c r="E3" s="53">
        <f>'202601'!G3</f>
        <v>1.5</v>
      </c>
      <c r="F3" s="53">
        <f>'202602'!G3</f>
        <v>2.4</v>
      </c>
      <c r="G3" s="54">
        <f>'202603'!G3</f>
        <v>2.8</v>
      </c>
      <c r="H3" s="54">
        <f>'202604'!G3</f>
        <v>0.5</v>
      </c>
      <c r="I3" s="54">
        <f>'202605'!G3</f>
        <v>0.7</v>
      </c>
      <c r="J3" s="54">
        <f>'202606'!G3</f>
        <v>2.2999999999999998</v>
      </c>
      <c r="K3" s="53">
        <f>'202607'!G3</f>
        <v>1.1000000000000001</v>
      </c>
      <c r="L3" s="53">
        <f>'202608'!G3</f>
        <v>1.5</v>
      </c>
      <c r="M3" s="53">
        <f>'202609'!G3</f>
        <v>1.5</v>
      </c>
      <c r="N3" s="23"/>
      <c r="O3" s="23"/>
      <c r="P3" s="38"/>
      <c r="Q3" s="55">
        <f>MAX(E3:P3)</f>
        <v>2.8</v>
      </c>
      <c r="R3" s="55">
        <f t="shared" ref="R3:R39" si="0">MIN(E3:P3)</f>
        <v>0.5</v>
      </c>
      <c r="S3" s="55">
        <f t="shared" ref="S3:S38" si="1">AVERAGE(E3:P3)</f>
        <v>1.5888888888888888</v>
      </c>
      <c r="T3" s="56">
        <f t="shared" ref="T3:T39" si="2">STDEV(E3:P3)</f>
        <v>0.78013531589789653</v>
      </c>
      <c r="U3" s="86" t="str">
        <f>IF(S3&lt;=1, "매우좋음", IF(S3&lt;=2, "좋음", IF(S3&lt;=3, "약간좋음", IF(S3&lt;=5, "보통", IF(S3&lt;=8, "약간나쁨", IF(S3&lt;=10, "나쁨", "매우나쁨"))))))</f>
        <v>좋음</v>
      </c>
    </row>
    <row r="4" spans="1:23" ht="20.100000000000001" customHeight="1" x14ac:dyDescent="0.3">
      <c r="A4" s="18">
        <v>3</v>
      </c>
      <c r="B4" s="109"/>
      <c r="C4" s="1" t="s">
        <v>8</v>
      </c>
      <c r="D4" s="33" t="s">
        <v>47</v>
      </c>
      <c r="E4" s="53">
        <f>'202601'!G4</f>
        <v>1</v>
      </c>
      <c r="F4" s="53">
        <f>'202602'!G4</f>
        <v>0.8</v>
      </c>
      <c r="G4" s="54">
        <f>'202603'!G4</f>
        <v>1.8</v>
      </c>
      <c r="H4" s="54">
        <f>'202604'!G4</f>
        <v>2</v>
      </c>
      <c r="I4" s="54">
        <f>'202605'!G4</f>
        <v>2.2999999999999998</v>
      </c>
      <c r="J4" s="54">
        <f>'202606'!G4</f>
        <v>1.7</v>
      </c>
      <c r="K4" s="53">
        <f>'202607'!G4</f>
        <v>1.5</v>
      </c>
      <c r="L4" s="53">
        <f>'202608'!G4</f>
        <v>1.2</v>
      </c>
      <c r="M4" s="53">
        <f>'202609'!G4</f>
        <v>1.6</v>
      </c>
      <c r="N4" s="23"/>
      <c r="O4" s="23"/>
      <c r="P4" s="38"/>
      <c r="Q4" s="55">
        <f t="shared" ref="Q4:Q39" si="3">MAX(E4:P4)</f>
        <v>2.2999999999999998</v>
      </c>
      <c r="R4" s="55">
        <f t="shared" si="0"/>
        <v>0.8</v>
      </c>
      <c r="S4" s="55">
        <f t="shared" si="1"/>
        <v>1.5444444444444443</v>
      </c>
      <c r="T4" s="56">
        <f t="shared" si="2"/>
        <v>0.47987266829626657</v>
      </c>
      <c r="U4" s="86" t="str">
        <f t="shared" ref="U4:U39" si="4">IF(S4&lt;=1, "매우좋음", IF(S4&lt;=2, "좋음", IF(S4&lt;=3, "약간좋음", IF(S4&lt;=5, "보통", IF(S4&lt;=8, "약간나쁨", IF(S4&lt;=10, "나쁨", "매우나쁨"))))))</f>
        <v>좋음</v>
      </c>
    </row>
    <row r="5" spans="1:23" ht="20.100000000000001" customHeight="1" x14ac:dyDescent="0.3">
      <c r="A5" s="18">
        <v>4</v>
      </c>
      <c r="B5" s="109"/>
      <c r="C5" s="1" t="s">
        <v>9</v>
      </c>
      <c r="D5" s="33" t="s">
        <v>48</v>
      </c>
      <c r="E5" s="53">
        <f>'202601'!G5</f>
        <v>1.2</v>
      </c>
      <c r="F5" s="53">
        <f>'202602'!G5</f>
        <v>0.9</v>
      </c>
      <c r="G5" s="54">
        <f>'202603'!G5</f>
        <v>1.9</v>
      </c>
      <c r="H5" s="54">
        <f>'202604'!G5</f>
        <v>2.1</v>
      </c>
      <c r="I5" s="54">
        <f>'202605'!G5</f>
        <v>2.4</v>
      </c>
      <c r="J5" s="54">
        <f>'202606'!G5</f>
        <v>1.3</v>
      </c>
      <c r="K5" s="53">
        <f>'202607'!G5</f>
        <v>1.4</v>
      </c>
      <c r="L5" s="53">
        <f>'202608'!G5</f>
        <v>1.4</v>
      </c>
      <c r="M5" s="53">
        <f>'202609'!G5</f>
        <v>2.2000000000000002</v>
      </c>
      <c r="N5" s="23"/>
      <c r="O5" s="23"/>
      <c r="P5" s="38"/>
      <c r="Q5" s="55">
        <f t="shared" si="3"/>
        <v>2.4</v>
      </c>
      <c r="R5" s="55">
        <f t="shared" si="0"/>
        <v>0.9</v>
      </c>
      <c r="S5" s="55">
        <f t="shared" si="1"/>
        <v>1.6444444444444446</v>
      </c>
      <c r="T5" s="56">
        <f t="shared" si="2"/>
        <v>0.51747248987533423</v>
      </c>
      <c r="U5" s="86" t="str">
        <f t="shared" si="4"/>
        <v>좋음</v>
      </c>
    </row>
    <row r="6" spans="1:23" ht="20.100000000000001" customHeight="1" x14ac:dyDescent="0.3">
      <c r="A6" s="18">
        <v>8</v>
      </c>
      <c r="B6" s="110"/>
      <c r="C6" s="1" t="s">
        <v>10</v>
      </c>
      <c r="D6" s="33" t="s">
        <v>97</v>
      </c>
      <c r="E6" s="53">
        <f>'202601'!G6</f>
        <v>1.5</v>
      </c>
      <c r="F6" s="53">
        <f>'202602'!G6</f>
        <v>1.3</v>
      </c>
      <c r="G6" s="54">
        <f>'202603'!G6</f>
        <v>1.9</v>
      </c>
      <c r="H6" s="54">
        <f>'202604'!G6</f>
        <v>3.1</v>
      </c>
      <c r="I6" s="54">
        <f>'202605'!G6</f>
        <v>3.3</v>
      </c>
      <c r="J6" s="54">
        <f>'202606'!G6</f>
        <v>2.1</v>
      </c>
      <c r="K6" s="53">
        <f>'202607'!G6</f>
        <v>1.5</v>
      </c>
      <c r="L6" s="53">
        <f>'202608'!G6</f>
        <v>1.4</v>
      </c>
      <c r="M6" s="53">
        <f>'202609'!G6</f>
        <v>0.9</v>
      </c>
      <c r="N6" s="23"/>
      <c r="O6" s="23"/>
      <c r="P6" s="38"/>
      <c r="Q6" s="55">
        <f t="shared" si="3"/>
        <v>3.3</v>
      </c>
      <c r="R6" s="55">
        <f t="shared" si="0"/>
        <v>0.9</v>
      </c>
      <c r="S6" s="57">
        <f>AVERAGE(E6:P6)</f>
        <v>1.8888888888888884</v>
      </c>
      <c r="T6" s="56">
        <f t="shared" si="2"/>
        <v>0.81921371516296881</v>
      </c>
      <c r="U6" s="86" t="str">
        <f t="shared" si="4"/>
        <v>좋음</v>
      </c>
    </row>
    <row r="7" spans="1:23" ht="20.100000000000001" customHeight="1" x14ac:dyDescent="0.3">
      <c r="A7" s="18">
        <v>10</v>
      </c>
      <c r="B7" s="48" t="s">
        <v>108</v>
      </c>
      <c r="C7" s="1" t="s">
        <v>39</v>
      </c>
      <c r="D7" s="33" t="s">
        <v>49</v>
      </c>
      <c r="E7" s="53">
        <f>'202601'!G7</f>
        <v>1.3</v>
      </c>
      <c r="F7" s="53">
        <f>'202602'!G7</f>
        <v>1.9</v>
      </c>
      <c r="G7" s="54">
        <f>'202603'!G7</f>
        <v>2.7</v>
      </c>
      <c r="H7" s="54">
        <f>'202604'!G7</f>
        <v>0.8</v>
      </c>
      <c r="I7" s="54">
        <f>'202605'!G7</f>
        <v>1.2</v>
      </c>
      <c r="J7" s="54">
        <f>'202606'!G7</f>
        <v>3.4</v>
      </c>
      <c r="K7" s="53">
        <f>'202607'!G7</f>
        <v>0.7</v>
      </c>
      <c r="L7" s="53">
        <f>'202608'!G7</f>
        <v>1.1000000000000001</v>
      </c>
      <c r="M7" s="53">
        <f>'202609'!G7</f>
        <v>1.9</v>
      </c>
      <c r="N7" s="23"/>
      <c r="O7" s="23"/>
      <c r="P7" s="38"/>
      <c r="Q7" s="55">
        <f t="shared" si="3"/>
        <v>3.4</v>
      </c>
      <c r="R7" s="55">
        <f t="shared" si="0"/>
        <v>0.7</v>
      </c>
      <c r="S7" s="55">
        <f t="shared" si="1"/>
        <v>1.6666666666666667</v>
      </c>
      <c r="T7" s="56">
        <f t="shared" si="2"/>
        <v>0.90415706600125589</v>
      </c>
      <c r="U7" s="86" t="str">
        <f t="shared" si="4"/>
        <v>좋음</v>
      </c>
    </row>
    <row r="8" spans="1:23" ht="20.100000000000001" customHeight="1" x14ac:dyDescent="0.3">
      <c r="A8" s="18">
        <v>11</v>
      </c>
      <c r="B8" s="41"/>
      <c r="C8" s="1" t="s">
        <v>11</v>
      </c>
      <c r="D8" s="33" t="s">
        <v>96</v>
      </c>
      <c r="E8" s="53">
        <f>'202601'!G8</f>
        <v>1.5</v>
      </c>
      <c r="F8" s="53">
        <f>'202602'!G8</f>
        <v>2.1</v>
      </c>
      <c r="G8" s="54">
        <f>'202603'!G8</f>
        <v>2.5</v>
      </c>
      <c r="H8" s="54">
        <f>'202604'!G8</f>
        <v>0.7</v>
      </c>
      <c r="I8" s="54">
        <f>'202605'!G8</f>
        <v>3</v>
      </c>
      <c r="J8" s="54">
        <f>'202606'!G8</f>
        <v>3</v>
      </c>
      <c r="K8" s="53">
        <f>'202607'!G8</f>
        <v>1.1000000000000001</v>
      </c>
      <c r="L8" s="53">
        <f>'202608'!G8</f>
        <v>1.4</v>
      </c>
      <c r="M8" s="53">
        <f>'202609'!G8</f>
        <v>2.1</v>
      </c>
      <c r="N8" s="23"/>
      <c r="O8" s="23"/>
      <c r="P8" s="38"/>
      <c r="Q8" s="55">
        <f t="shared" si="3"/>
        <v>3</v>
      </c>
      <c r="R8" s="55">
        <f t="shared" si="0"/>
        <v>0.7</v>
      </c>
      <c r="S8" s="55">
        <f t="shared" si="1"/>
        <v>1.9333333333333336</v>
      </c>
      <c r="T8" s="56">
        <f t="shared" si="2"/>
        <v>0.81700673191840933</v>
      </c>
      <c r="U8" s="86" t="str">
        <f t="shared" si="4"/>
        <v>좋음</v>
      </c>
    </row>
    <row r="9" spans="1:23" ht="20.100000000000001" customHeight="1" x14ac:dyDescent="0.3">
      <c r="A9" s="18">
        <v>12</v>
      </c>
      <c r="B9" s="42"/>
      <c r="C9" s="1" t="s">
        <v>12</v>
      </c>
      <c r="D9" s="33" t="s">
        <v>50</v>
      </c>
      <c r="E9" s="53">
        <f>'202601'!G9</f>
        <v>1.7</v>
      </c>
      <c r="F9" s="53">
        <f>'202602'!G9</f>
        <v>2.2000000000000002</v>
      </c>
      <c r="G9" s="54">
        <f>'202603'!G9</f>
        <v>2.9</v>
      </c>
      <c r="H9" s="54">
        <f>'202604'!G9</f>
        <v>1.8</v>
      </c>
      <c r="I9" s="54">
        <f>'202605'!G9</f>
        <v>2.8</v>
      </c>
      <c r="J9" s="54">
        <f>'202606'!G9</f>
        <v>2.4</v>
      </c>
      <c r="K9" s="53">
        <f>'202607'!G9</f>
        <v>0.7</v>
      </c>
      <c r="L9" s="53">
        <f>'202608'!G9</f>
        <v>1.5</v>
      </c>
      <c r="M9" s="116">
        <f>'202609'!G9</f>
        <v>6</v>
      </c>
      <c r="N9" s="23"/>
      <c r="O9" s="23"/>
      <c r="P9" s="38"/>
      <c r="Q9" s="55">
        <f t="shared" si="3"/>
        <v>6</v>
      </c>
      <c r="R9" s="55">
        <f t="shared" si="0"/>
        <v>0.7</v>
      </c>
      <c r="S9" s="55">
        <f>AVERAGE(E9:P9)</f>
        <v>2.4444444444444446</v>
      </c>
      <c r="T9" s="56">
        <f t="shared" si="2"/>
        <v>1.4975906576156843</v>
      </c>
      <c r="U9" s="86" t="str">
        <f t="shared" si="4"/>
        <v>약간좋음</v>
      </c>
    </row>
    <row r="10" spans="1:23" ht="20.100000000000001" customHeight="1" x14ac:dyDescent="0.3">
      <c r="A10" s="18">
        <v>13</v>
      </c>
      <c r="B10" s="1" t="s">
        <v>109</v>
      </c>
      <c r="C10" s="1" t="s">
        <v>35</v>
      </c>
      <c r="D10" s="33" t="s">
        <v>51</v>
      </c>
      <c r="E10" s="53">
        <f>'202601'!G10</f>
        <v>2.2999999999999998</v>
      </c>
      <c r="F10" s="53">
        <f>'202602'!G10</f>
        <v>2.2000000000000002</v>
      </c>
      <c r="G10" s="54">
        <f>'202603'!G10</f>
        <v>3.4</v>
      </c>
      <c r="H10" s="54">
        <f>'202604'!G10</f>
        <v>1.2</v>
      </c>
      <c r="I10" s="54">
        <f>'202605'!G10</f>
        <v>2.2000000000000002</v>
      </c>
      <c r="J10" s="54">
        <f>'202606'!G10</f>
        <v>3.5</v>
      </c>
      <c r="K10" s="53">
        <f>'202607'!G10</f>
        <v>0.7</v>
      </c>
      <c r="L10" s="53">
        <f>'202608'!G10</f>
        <v>1.2</v>
      </c>
      <c r="M10" s="53">
        <f>'202609'!G10</f>
        <v>3.6</v>
      </c>
      <c r="N10" s="23"/>
      <c r="O10" s="23"/>
      <c r="P10" s="38"/>
      <c r="Q10" s="55">
        <f t="shared" si="3"/>
        <v>3.6</v>
      </c>
      <c r="R10" s="55">
        <f t="shared" si="0"/>
        <v>0.7</v>
      </c>
      <c r="S10" s="55">
        <f t="shared" si="1"/>
        <v>2.2555555555555555</v>
      </c>
      <c r="T10" s="56">
        <f t="shared" si="2"/>
        <v>1.0794803276474181</v>
      </c>
      <c r="U10" s="86" t="str">
        <f t="shared" si="4"/>
        <v>약간좋음</v>
      </c>
    </row>
    <row r="11" spans="1:23" ht="20.100000000000001" customHeight="1" x14ac:dyDescent="0.3">
      <c r="A11" s="18">
        <v>14</v>
      </c>
      <c r="B11" s="1" t="s">
        <v>110</v>
      </c>
      <c r="C11" s="1" t="s">
        <v>65</v>
      </c>
      <c r="D11" s="33" t="s">
        <v>85</v>
      </c>
      <c r="E11" s="53">
        <f>'202601'!G11</f>
        <v>2.8</v>
      </c>
      <c r="F11" s="53">
        <f>'202602'!G11</f>
        <v>2.1</v>
      </c>
      <c r="G11" s="54">
        <f>'202603'!G11</f>
        <v>2.2999999999999998</v>
      </c>
      <c r="H11" s="54">
        <f>'202604'!G11</f>
        <v>1.5</v>
      </c>
      <c r="I11" s="54">
        <f>'202605'!G11</f>
        <v>1.2</v>
      </c>
      <c r="J11" s="54">
        <f>'202606'!G11</f>
        <v>2</v>
      </c>
      <c r="K11" s="53">
        <f>'202607'!G11</f>
        <v>0.6</v>
      </c>
      <c r="L11" s="53">
        <f>'202608'!G11</f>
        <v>1.3</v>
      </c>
      <c r="M11" s="53">
        <f>'202609'!G11</f>
        <v>2.2999999999999998</v>
      </c>
      <c r="N11" s="23"/>
      <c r="O11" s="23"/>
      <c r="P11" s="38"/>
      <c r="Q11" s="55">
        <f t="shared" si="3"/>
        <v>2.8</v>
      </c>
      <c r="R11" s="55">
        <f t="shared" si="0"/>
        <v>0.6</v>
      </c>
      <c r="S11" s="55">
        <f t="shared" si="1"/>
        <v>1.7888888888888888</v>
      </c>
      <c r="T11" s="56">
        <f t="shared" si="2"/>
        <v>0.68637534273246759</v>
      </c>
      <c r="U11" s="86" t="str">
        <f t="shared" si="4"/>
        <v>좋음</v>
      </c>
      <c r="W11" s="17">
        <v>1</v>
      </c>
    </row>
    <row r="12" spans="1:23" ht="20.100000000000001" customHeight="1" x14ac:dyDescent="0.3">
      <c r="A12" s="18">
        <v>17</v>
      </c>
      <c r="B12" s="108" t="s">
        <v>111</v>
      </c>
      <c r="C12" s="1" t="s">
        <v>40</v>
      </c>
      <c r="D12" s="33" t="s">
        <v>52</v>
      </c>
      <c r="E12" s="53">
        <f>'202601'!G12</f>
        <v>1.7</v>
      </c>
      <c r="F12" s="53">
        <f>'202602'!G12</f>
        <v>1.2</v>
      </c>
      <c r="G12" s="54">
        <f>'202603'!G12</f>
        <v>2.2000000000000002</v>
      </c>
      <c r="H12" s="54">
        <f>'202604'!G12</f>
        <v>0.6</v>
      </c>
      <c r="I12" s="54">
        <f>'202605'!G12</f>
        <v>2.9</v>
      </c>
      <c r="J12" s="54">
        <f>'202606'!G12</f>
        <v>1.1000000000000001</v>
      </c>
      <c r="K12" s="53">
        <f>'202607'!G12</f>
        <v>1.5</v>
      </c>
      <c r="L12" s="53">
        <f>'202608'!G12</f>
        <v>1.3</v>
      </c>
      <c r="M12" s="53">
        <f>'202609'!G12</f>
        <v>3.8</v>
      </c>
      <c r="N12" s="23"/>
      <c r="O12" s="23"/>
      <c r="P12" s="38"/>
      <c r="Q12" s="55">
        <f t="shared" si="3"/>
        <v>3.8</v>
      </c>
      <c r="R12" s="55">
        <f t="shared" si="0"/>
        <v>0.6</v>
      </c>
      <c r="S12" s="55">
        <f t="shared" si="1"/>
        <v>1.8111111111111111</v>
      </c>
      <c r="T12" s="56">
        <f t="shared" si="2"/>
        <v>1.0005554013202425</v>
      </c>
      <c r="U12" s="86" t="str">
        <f t="shared" si="4"/>
        <v>좋음</v>
      </c>
    </row>
    <row r="13" spans="1:23" ht="20.100000000000001" customHeight="1" x14ac:dyDescent="0.3">
      <c r="A13" s="18">
        <v>18</v>
      </c>
      <c r="B13" s="109"/>
      <c r="C13" s="1" t="s">
        <v>13</v>
      </c>
      <c r="D13" s="33" t="s">
        <v>53</v>
      </c>
      <c r="E13" s="53">
        <f>'202601'!G13</f>
        <v>1.4</v>
      </c>
      <c r="F13" s="53">
        <f>'202602'!G13</f>
        <v>1.1000000000000001</v>
      </c>
      <c r="G13" s="54">
        <f>'202603'!G13</f>
        <v>2</v>
      </c>
      <c r="H13" s="54">
        <f>'202604'!G13</f>
        <v>0.5</v>
      </c>
      <c r="I13" s="54">
        <f>'202605'!G13</f>
        <v>0.8</v>
      </c>
      <c r="J13" s="54">
        <f>'202606'!G13</f>
        <v>2.1</v>
      </c>
      <c r="K13" s="53">
        <f>'202607'!G13</f>
        <v>0.7</v>
      </c>
      <c r="L13" s="53">
        <f>'202608'!G13</f>
        <v>1.1000000000000001</v>
      </c>
      <c r="M13" s="53">
        <f>'202609'!G13</f>
        <v>2.9</v>
      </c>
      <c r="N13" s="23"/>
      <c r="O13" s="23"/>
      <c r="P13" s="38"/>
      <c r="Q13" s="55">
        <f t="shared" si="3"/>
        <v>2.9</v>
      </c>
      <c r="R13" s="55">
        <f t="shared" si="0"/>
        <v>0.5</v>
      </c>
      <c r="S13" s="55">
        <f t="shared" si="1"/>
        <v>1.4</v>
      </c>
      <c r="T13" s="56">
        <f t="shared" si="2"/>
        <v>0.78581168227508569</v>
      </c>
      <c r="U13" s="86" t="str">
        <f t="shared" si="4"/>
        <v>좋음</v>
      </c>
    </row>
    <row r="14" spans="1:23" ht="20.100000000000001" customHeight="1" x14ac:dyDescent="0.3">
      <c r="A14" s="18">
        <v>20</v>
      </c>
      <c r="B14" s="109"/>
      <c r="C14" s="1" t="s">
        <v>14</v>
      </c>
      <c r="D14" s="33" t="s">
        <v>54</v>
      </c>
      <c r="E14" s="53">
        <f>'202601'!G14</f>
        <v>1.9</v>
      </c>
      <c r="F14" s="53">
        <f>'202602'!G14</f>
        <v>1</v>
      </c>
      <c r="G14" s="54">
        <f>'202603'!G14</f>
        <v>2</v>
      </c>
      <c r="H14" s="54">
        <f>'202604'!G14</f>
        <v>0.5</v>
      </c>
      <c r="I14" s="54">
        <f>'202605'!G14</f>
        <v>1.4</v>
      </c>
      <c r="J14" s="54">
        <f>'202606'!G14</f>
        <v>1.1000000000000001</v>
      </c>
      <c r="K14" s="53">
        <f>'202607'!G14</f>
        <v>0.7</v>
      </c>
      <c r="L14" s="53">
        <f>'202608'!G14</f>
        <v>1.2</v>
      </c>
      <c r="M14" s="53">
        <f>'202609'!G14</f>
        <v>3.3</v>
      </c>
      <c r="N14" s="23"/>
      <c r="O14" s="23"/>
      <c r="P14" s="38"/>
      <c r="Q14" s="55">
        <f t="shared" si="3"/>
        <v>3.3</v>
      </c>
      <c r="R14" s="55">
        <f t="shared" si="0"/>
        <v>0.5</v>
      </c>
      <c r="S14" s="55">
        <f t="shared" si="1"/>
        <v>1.4555555555555553</v>
      </c>
      <c r="T14" s="56">
        <f t="shared" si="2"/>
        <v>0.85016338299045668</v>
      </c>
      <c r="U14" s="86" t="str">
        <f t="shared" si="4"/>
        <v>좋음</v>
      </c>
    </row>
    <row r="15" spans="1:23" ht="20.100000000000001" customHeight="1" x14ac:dyDescent="0.3">
      <c r="A15" s="18">
        <v>21</v>
      </c>
      <c r="B15" s="109"/>
      <c r="C15" s="1" t="s">
        <v>15</v>
      </c>
      <c r="D15" s="33" t="s">
        <v>55</v>
      </c>
      <c r="E15" s="53">
        <f>'202601'!G15</f>
        <v>1.4</v>
      </c>
      <c r="F15" s="53">
        <f>'202602'!G15</f>
        <v>1.4</v>
      </c>
      <c r="G15" s="54">
        <f>'202603'!G15</f>
        <v>1.6</v>
      </c>
      <c r="H15" s="54">
        <f>'202604'!G15</f>
        <v>0.7</v>
      </c>
      <c r="I15" s="54">
        <f>'202605'!G15</f>
        <v>0.9</v>
      </c>
      <c r="J15" s="54">
        <f>'202606'!G15</f>
        <v>1.1000000000000001</v>
      </c>
      <c r="K15" s="53">
        <f>'202607'!G15</f>
        <v>0.5</v>
      </c>
      <c r="L15" s="53">
        <f>'202608'!G15</f>
        <v>1.3</v>
      </c>
      <c r="M15" s="53">
        <f>'202609'!G15</f>
        <v>3</v>
      </c>
      <c r="N15" s="23"/>
      <c r="O15" s="23"/>
      <c r="P15" s="38"/>
      <c r="Q15" s="55">
        <f t="shared" si="3"/>
        <v>3</v>
      </c>
      <c r="R15" s="55">
        <f t="shared" si="0"/>
        <v>0.5</v>
      </c>
      <c r="S15" s="55">
        <f t="shared" si="1"/>
        <v>1.3222222222222224</v>
      </c>
      <c r="T15" s="56">
        <f t="shared" si="2"/>
        <v>0.72418536608001394</v>
      </c>
      <c r="U15" s="86" t="str">
        <f t="shared" si="4"/>
        <v>좋음</v>
      </c>
    </row>
    <row r="16" spans="1:23" ht="20.100000000000001" customHeight="1" x14ac:dyDescent="0.3">
      <c r="A16" s="18">
        <v>22</v>
      </c>
      <c r="B16" s="110"/>
      <c r="C16" s="1" t="s">
        <v>16</v>
      </c>
      <c r="D16" s="33" t="s">
        <v>86</v>
      </c>
      <c r="E16" s="53">
        <f>'202601'!G16</f>
        <v>2</v>
      </c>
      <c r="F16" s="53">
        <f>'202602'!G16</f>
        <v>1.3</v>
      </c>
      <c r="G16" s="54">
        <f>'202603'!G16</f>
        <v>2.1</v>
      </c>
      <c r="H16" s="54">
        <f>'202604'!G16</f>
        <v>0.6</v>
      </c>
      <c r="I16" s="54">
        <f>'202605'!G16</f>
        <v>0.5</v>
      </c>
      <c r="J16" s="54">
        <f>'202606'!G16</f>
        <v>1.9</v>
      </c>
      <c r="K16" s="53">
        <f>'202607'!G16</f>
        <v>0.6</v>
      </c>
      <c r="L16" s="53">
        <f>'202608'!G16</f>
        <v>1.3</v>
      </c>
      <c r="M16" s="53">
        <f>'202609'!G16</f>
        <v>2.7</v>
      </c>
      <c r="N16" s="23"/>
      <c r="O16" s="23"/>
      <c r="P16" s="38"/>
      <c r="Q16" s="55">
        <f t="shared" si="3"/>
        <v>2.7</v>
      </c>
      <c r="R16" s="55">
        <f t="shared" si="0"/>
        <v>0.5</v>
      </c>
      <c r="S16" s="58">
        <f>AVERAGE(E16:P16)</f>
        <v>1.4444444444444444</v>
      </c>
      <c r="T16" s="56">
        <f t="shared" si="2"/>
        <v>0.78120277635053126</v>
      </c>
      <c r="U16" s="86" t="str">
        <f t="shared" si="4"/>
        <v>좋음</v>
      </c>
    </row>
    <row r="17" spans="1:21" ht="20.100000000000001" customHeight="1" x14ac:dyDescent="0.3">
      <c r="A17" s="18">
        <v>23</v>
      </c>
      <c r="B17" s="108" t="s">
        <v>112</v>
      </c>
      <c r="C17" s="1" t="s">
        <v>41</v>
      </c>
      <c r="D17" s="33" t="s">
        <v>56</v>
      </c>
      <c r="E17" s="53">
        <f>'202601'!G17</f>
        <v>2</v>
      </c>
      <c r="F17" s="53">
        <f>'202602'!G17</f>
        <v>2.8</v>
      </c>
      <c r="G17" s="54">
        <f>'202603'!G17</f>
        <v>5.0999999999999996</v>
      </c>
      <c r="H17" s="54">
        <f>'202604'!G17</f>
        <v>2.2999999999999998</v>
      </c>
      <c r="I17" s="54">
        <f>'202605'!G17</f>
        <v>5.0999999999999996</v>
      </c>
      <c r="J17" s="54">
        <f>'202606'!G17</f>
        <v>4</v>
      </c>
      <c r="K17" s="53">
        <f>'202607'!G17</f>
        <v>0.9</v>
      </c>
      <c r="L17" s="53">
        <f>'202608'!G17</f>
        <v>1.9</v>
      </c>
      <c r="M17" s="53">
        <f>'202609'!G17</f>
        <v>3.8</v>
      </c>
      <c r="N17" s="23"/>
      <c r="O17" s="23"/>
      <c r="P17" s="38"/>
      <c r="Q17" s="55">
        <f t="shared" si="3"/>
        <v>5.0999999999999996</v>
      </c>
      <c r="R17" s="55">
        <f t="shared" si="0"/>
        <v>0.9</v>
      </c>
      <c r="S17" s="55">
        <f t="shared" si="1"/>
        <v>3.0999999999999996</v>
      </c>
      <c r="T17" s="56">
        <f t="shared" si="2"/>
        <v>1.4798648586948753</v>
      </c>
      <c r="U17" s="86" t="str">
        <f t="shared" si="4"/>
        <v>보통</v>
      </c>
    </row>
    <row r="18" spans="1:21" ht="20.100000000000001" customHeight="1" x14ac:dyDescent="0.3">
      <c r="A18" s="18">
        <v>24</v>
      </c>
      <c r="B18" s="110"/>
      <c r="C18" s="1" t="s">
        <v>17</v>
      </c>
      <c r="D18" s="33" t="s">
        <v>57</v>
      </c>
      <c r="E18" s="53">
        <f>'202601'!G18</f>
        <v>2.4</v>
      </c>
      <c r="F18" s="53">
        <f>'202602'!G18</f>
        <v>3.2</v>
      </c>
      <c r="G18" s="54">
        <f>'202603'!G18</f>
        <v>5</v>
      </c>
      <c r="H18" s="54">
        <f>'202604'!G18</f>
        <v>2.2999999999999998</v>
      </c>
      <c r="I18" s="54">
        <f>'202605'!G18</f>
        <v>5.8</v>
      </c>
      <c r="J18" s="54">
        <f>'202606'!G18</f>
        <v>5.0999999999999996</v>
      </c>
      <c r="K18" s="53">
        <f>'202607'!G18</f>
        <v>0.9</v>
      </c>
      <c r="L18" s="53">
        <f>'202608'!G18</f>
        <v>2.1</v>
      </c>
      <c r="M18" s="53">
        <f>'202609'!G18</f>
        <v>4.8</v>
      </c>
      <c r="N18" s="23"/>
      <c r="O18" s="23"/>
      <c r="P18" s="38"/>
      <c r="Q18" s="55">
        <f t="shared" si="3"/>
        <v>5.8</v>
      </c>
      <c r="R18" s="55">
        <f t="shared" si="0"/>
        <v>0.9</v>
      </c>
      <c r="S18" s="55">
        <f t="shared" si="1"/>
        <v>3.5111111111111111</v>
      </c>
      <c r="T18" s="56">
        <f t="shared" si="2"/>
        <v>1.7047319763268103</v>
      </c>
      <c r="U18" s="86" t="str">
        <f t="shared" si="4"/>
        <v>보통</v>
      </c>
    </row>
    <row r="19" spans="1:21" ht="20.100000000000001" customHeight="1" x14ac:dyDescent="0.3">
      <c r="A19" s="18">
        <v>25</v>
      </c>
      <c r="B19" s="1" t="s">
        <v>113</v>
      </c>
      <c r="C19" s="1" t="s">
        <v>36</v>
      </c>
      <c r="D19" s="33" t="s">
        <v>58</v>
      </c>
      <c r="E19" s="53">
        <f>'202601'!G19</f>
        <v>1.6</v>
      </c>
      <c r="F19" s="53">
        <f>'202602'!G19</f>
        <v>1.7</v>
      </c>
      <c r="G19" s="54">
        <f>'202603'!G19</f>
        <v>2.1</v>
      </c>
      <c r="H19" s="54">
        <f>'202604'!G19</f>
        <v>2.1</v>
      </c>
      <c r="I19" s="54">
        <f>'202605'!G19</f>
        <v>0.6</v>
      </c>
      <c r="J19" s="54">
        <f>'202606'!G19</f>
        <v>1.9</v>
      </c>
      <c r="K19" s="53">
        <f>'202607'!G19</f>
        <v>1</v>
      </c>
      <c r="L19" s="53">
        <f>'202608'!G19</f>
        <v>1.6</v>
      </c>
      <c r="M19" s="53">
        <f>'202609'!G19</f>
        <v>3.3</v>
      </c>
      <c r="N19" s="23"/>
      <c r="O19" s="23"/>
      <c r="P19" s="38"/>
      <c r="Q19" s="55">
        <f t="shared" si="3"/>
        <v>3.3</v>
      </c>
      <c r="R19" s="55">
        <f t="shared" si="0"/>
        <v>0.6</v>
      </c>
      <c r="S19" s="55">
        <f t="shared" si="1"/>
        <v>1.7666666666666666</v>
      </c>
      <c r="T19" s="56">
        <f t="shared" si="2"/>
        <v>0.75828754440515544</v>
      </c>
      <c r="U19" s="86" t="str">
        <f t="shared" si="4"/>
        <v>좋음</v>
      </c>
    </row>
    <row r="20" spans="1:21" ht="20.100000000000001" customHeight="1" x14ac:dyDescent="0.3">
      <c r="A20" s="18">
        <v>26</v>
      </c>
      <c r="B20" s="108" t="s">
        <v>114</v>
      </c>
      <c r="C20" s="1" t="s">
        <v>42</v>
      </c>
      <c r="D20" s="33" t="s">
        <v>93</v>
      </c>
      <c r="E20" s="53">
        <f>'202601'!G20</f>
        <v>9.1</v>
      </c>
      <c r="F20" s="53">
        <f>'202602'!G20</f>
        <v>2.2999999999999998</v>
      </c>
      <c r="G20" s="54">
        <f>'202603'!G20</f>
        <v>2.2000000000000002</v>
      </c>
      <c r="H20" s="54">
        <f>'202604'!G20</f>
        <v>1.9</v>
      </c>
      <c r="I20" s="54">
        <f>'202605'!G20</f>
        <v>3.6</v>
      </c>
      <c r="J20" s="54">
        <f>'202606'!G20</f>
        <v>3.6</v>
      </c>
      <c r="K20" s="53">
        <f>'202607'!G20</f>
        <v>1.8</v>
      </c>
      <c r="L20" s="53">
        <f>'202608'!G20</f>
        <v>1.5</v>
      </c>
      <c r="M20" s="53">
        <f>'202609'!G20</f>
        <v>1.8</v>
      </c>
      <c r="N20" s="23"/>
      <c r="O20" s="23"/>
      <c r="P20" s="38"/>
      <c r="Q20" s="55">
        <f t="shared" si="3"/>
        <v>9.1</v>
      </c>
      <c r="R20" s="55">
        <f t="shared" si="0"/>
        <v>1.5</v>
      </c>
      <c r="S20" s="55">
        <f t="shared" si="1"/>
        <v>3.088888888888889</v>
      </c>
      <c r="T20" s="56">
        <f t="shared" si="2"/>
        <v>2.3803594499804244</v>
      </c>
      <c r="U20" s="86" t="str">
        <f t="shared" si="4"/>
        <v>보통</v>
      </c>
    </row>
    <row r="21" spans="1:21" ht="20.100000000000001" customHeight="1" x14ac:dyDescent="0.3">
      <c r="A21" s="18">
        <v>27</v>
      </c>
      <c r="B21" s="109"/>
      <c r="C21" s="1" t="s">
        <v>18</v>
      </c>
      <c r="D21" s="33" t="s">
        <v>95</v>
      </c>
      <c r="E21" s="53">
        <f>'202601'!G21</f>
        <v>1.3</v>
      </c>
      <c r="F21" s="53">
        <f>'202602'!G21</f>
        <v>2.2999999999999998</v>
      </c>
      <c r="G21" s="54">
        <f>'202603'!G21</f>
        <v>3.2</v>
      </c>
      <c r="H21" s="54">
        <f>'202604'!G21</f>
        <v>3.1</v>
      </c>
      <c r="I21" s="54">
        <f>'202605'!G21</f>
        <v>4.8</v>
      </c>
      <c r="J21" s="54">
        <f>'202606'!G21</f>
        <v>4.5</v>
      </c>
      <c r="K21" s="53">
        <f>'202607'!G21</f>
        <v>1.8</v>
      </c>
      <c r="L21" s="53">
        <f>'202608'!G21</f>
        <v>1.5</v>
      </c>
      <c r="M21" s="116">
        <f>'202609'!G21</f>
        <v>6.6</v>
      </c>
      <c r="N21" s="23"/>
      <c r="O21" s="23"/>
      <c r="P21" s="38"/>
      <c r="Q21" s="55">
        <f t="shared" si="3"/>
        <v>6.6</v>
      </c>
      <c r="R21" s="55">
        <f t="shared" si="0"/>
        <v>1.3</v>
      </c>
      <c r="S21" s="55">
        <f t="shared" si="1"/>
        <v>3.2333333333333334</v>
      </c>
      <c r="T21" s="56">
        <f t="shared" si="2"/>
        <v>1.7705931209625767</v>
      </c>
      <c r="U21" s="86" t="str">
        <f t="shared" si="4"/>
        <v>보통</v>
      </c>
    </row>
    <row r="22" spans="1:21" ht="20.100000000000001" customHeight="1" x14ac:dyDescent="0.3">
      <c r="A22" s="18">
        <v>28</v>
      </c>
      <c r="B22" s="109"/>
      <c r="C22" s="1" t="s">
        <v>19</v>
      </c>
      <c r="D22" s="33" t="s">
        <v>94</v>
      </c>
      <c r="E22" s="53">
        <f>'202601'!G22</f>
        <v>4.7</v>
      </c>
      <c r="F22" s="53">
        <f>'202602'!G22</f>
        <v>2.5</v>
      </c>
      <c r="G22" s="54">
        <f>'202603'!G22</f>
        <v>3.6</v>
      </c>
      <c r="H22" s="54">
        <f>'202604'!G22</f>
        <v>5.7</v>
      </c>
      <c r="I22" s="54">
        <f>'202605'!G22</f>
        <v>8</v>
      </c>
      <c r="J22" s="54">
        <f>'202606'!G22</f>
        <v>3.9</v>
      </c>
      <c r="K22" s="53">
        <f>'202607'!G22</f>
        <v>2.4</v>
      </c>
      <c r="L22" s="53">
        <f>'202608'!G22</f>
        <v>4.0999999999999996</v>
      </c>
      <c r="M22" s="53">
        <f>'202609'!G22</f>
        <v>1.2</v>
      </c>
      <c r="N22" s="23"/>
      <c r="O22" s="23"/>
      <c r="P22" s="38"/>
      <c r="Q22" s="55">
        <f>MAX(E22:P22)</f>
        <v>8</v>
      </c>
      <c r="R22" s="55">
        <f t="shared" si="0"/>
        <v>1.2</v>
      </c>
      <c r="S22" s="55">
        <f t="shared" si="1"/>
        <v>4.0111111111111111</v>
      </c>
      <c r="T22" s="56">
        <f t="shared" si="2"/>
        <v>2.0065171594359996</v>
      </c>
      <c r="U22" s="86" t="str">
        <f t="shared" si="4"/>
        <v>보통</v>
      </c>
    </row>
    <row r="23" spans="1:21" ht="20.100000000000001" customHeight="1" x14ac:dyDescent="0.3">
      <c r="A23" s="18">
        <v>29</v>
      </c>
      <c r="B23" s="109"/>
      <c r="C23" s="1" t="s">
        <v>63</v>
      </c>
      <c r="D23" s="33" t="s">
        <v>59</v>
      </c>
      <c r="E23" s="53">
        <f>'202601'!G23</f>
        <v>3.6</v>
      </c>
      <c r="F23" s="53">
        <f>'202602'!G23</f>
        <v>2.4</v>
      </c>
      <c r="G23" s="54">
        <f>'202603'!G23</f>
        <v>3.9</v>
      </c>
      <c r="H23" s="54">
        <f>'202604'!G23</f>
        <v>3.2</v>
      </c>
      <c r="I23" s="54">
        <f>'202605'!G23</f>
        <v>6</v>
      </c>
      <c r="J23" s="54">
        <f>'202606'!G23</f>
        <v>4.8</v>
      </c>
      <c r="K23" s="53">
        <f>'202607'!G23</f>
        <v>1.9</v>
      </c>
      <c r="L23" s="53">
        <f>'202608'!G23</f>
        <v>2.2999999999999998</v>
      </c>
      <c r="M23" s="53">
        <f>'202609'!G23</f>
        <v>1</v>
      </c>
      <c r="N23" s="23"/>
      <c r="O23" s="23"/>
      <c r="P23" s="38"/>
      <c r="Q23" s="55">
        <f t="shared" si="3"/>
        <v>6</v>
      </c>
      <c r="R23" s="55">
        <f t="shared" si="0"/>
        <v>1</v>
      </c>
      <c r="S23" s="55">
        <f t="shared" si="1"/>
        <v>3.2333333333333334</v>
      </c>
      <c r="T23" s="56">
        <f t="shared" si="2"/>
        <v>1.5419143945109279</v>
      </c>
      <c r="U23" s="86" t="str">
        <f t="shared" si="4"/>
        <v>보통</v>
      </c>
    </row>
    <row r="24" spans="1:21" ht="20.100000000000001" customHeight="1" x14ac:dyDescent="0.3">
      <c r="A24" s="18">
        <v>30</v>
      </c>
      <c r="B24" s="109"/>
      <c r="C24" s="1" t="s">
        <v>87</v>
      </c>
      <c r="D24" s="33" t="s">
        <v>88</v>
      </c>
      <c r="E24" s="53">
        <f>'202601'!G24</f>
        <v>3</v>
      </c>
      <c r="F24" s="53">
        <f>'202602'!G24</f>
        <v>2.1</v>
      </c>
      <c r="G24" s="54">
        <f>'202603'!G24</f>
        <v>2.9</v>
      </c>
      <c r="H24" s="54">
        <f>'202604'!G24</f>
        <v>4.7</v>
      </c>
      <c r="I24" s="54">
        <f>'202605'!G24</f>
        <v>4.7</v>
      </c>
      <c r="J24" s="54">
        <f>'202606'!G24</f>
        <v>3.8</v>
      </c>
      <c r="K24" s="53">
        <f>'202607'!G24</f>
        <v>0.9</v>
      </c>
      <c r="L24" s="53">
        <f>'202608'!G24</f>
        <v>1.6</v>
      </c>
      <c r="M24" s="53">
        <f>'202609'!G24</f>
        <v>3.3</v>
      </c>
      <c r="N24" s="23"/>
      <c r="O24" s="23"/>
      <c r="P24" s="38"/>
      <c r="Q24" s="55">
        <f t="shared" si="3"/>
        <v>4.7</v>
      </c>
      <c r="R24" s="55">
        <f t="shared" si="0"/>
        <v>0.9</v>
      </c>
      <c r="S24" s="55">
        <f t="shared" si="1"/>
        <v>3</v>
      </c>
      <c r="T24" s="56">
        <f t="shared" si="2"/>
        <v>1.3086252328302401</v>
      </c>
      <c r="U24" s="86" t="str">
        <f t="shared" si="4"/>
        <v>약간좋음</v>
      </c>
    </row>
    <row r="25" spans="1:21" ht="20.100000000000001" customHeight="1" x14ac:dyDescent="0.3">
      <c r="A25" s="18">
        <v>31</v>
      </c>
      <c r="B25" s="109"/>
      <c r="C25" s="1" t="s">
        <v>20</v>
      </c>
      <c r="D25" s="33" t="s">
        <v>60</v>
      </c>
      <c r="E25" s="53">
        <f>'202601'!G25</f>
        <v>2.8</v>
      </c>
      <c r="F25" s="53">
        <f>'202602'!G25</f>
        <v>2.1</v>
      </c>
      <c r="G25" s="54">
        <f>'202603'!G25</f>
        <v>2.9</v>
      </c>
      <c r="H25" s="54">
        <f>'202604'!G25</f>
        <v>4</v>
      </c>
      <c r="I25" s="54">
        <f>'202605'!G25</f>
        <v>6.2</v>
      </c>
      <c r="J25" s="54">
        <f>'202606'!G25</f>
        <v>3.4</v>
      </c>
      <c r="K25" s="53">
        <f>'202607'!G25</f>
        <v>2.2000000000000002</v>
      </c>
      <c r="L25" s="53">
        <f>'202608'!G25</f>
        <v>3.6</v>
      </c>
      <c r="M25" s="53">
        <f>'202609'!G25</f>
        <v>1.6</v>
      </c>
      <c r="N25" s="23"/>
      <c r="O25" s="23"/>
      <c r="P25" s="38"/>
      <c r="Q25" s="55">
        <f t="shared" si="3"/>
        <v>6.2</v>
      </c>
      <c r="R25" s="55">
        <f t="shared" si="0"/>
        <v>1.6</v>
      </c>
      <c r="S25" s="55">
        <f t="shared" si="1"/>
        <v>3.2</v>
      </c>
      <c r="T25" s="56">
        <f t="shared" si="2"/>
        <v>1.3629013170439011</v>
      </c>
      <c r="U25" s="86" t="str">
        <f t="shared" si="4"/>
        <v>보통</v>
      </c>
    </row>
    <row r="26" spans="1:21" ht="16.5" customHeight="1" x14ac:dyDescent="0.3">
      <c r="A26" s="18">
        <v>32</v>
      </c>
      <c r="B26" s="109"/>
      <c r="C26" s="1" t="s">
        <v>21</v>
      </c>
      <c r="D26" s="33" t="s">
        <v>91</v>
      </c>
      <c r="E26" s="53">
        <f>'202601'!G26</f>
        <v>2.2999999999999998</v>
      </c>
      <c r="F26" s="53">
        <f>'202602'!G26</f>
        <v>2.1</v>
      </c>
      <c r="G26" s="54">
        <f>'202603'!G26</f>
        <v>4.0999999999999996</v>
      </c>
      <c r="H26" s="54">
        <f>'202604'!G26</f>
        <v>4.9000000000000004</v>
      </c>
      <c r="I26" s="54">
        <f>'202605'!G26</f>
        <v>6.1</v>
      </c>
      <c r="J26" s="54">
        <f>'202606'!G26</f>
        <v>4.4000000000000004</v>
      </c>
      <c r="K26" s="53">
        <f>'202607'!G26</f>
        <v>4.3</v>
      </c>
      <c r="L26" s="53">
        <f>'202608'!G26</f>
        <v>2.2999999999999998</v>
      </c>
      <c r="M26" s="53">
        <f>'202609'!G26</f>
        <v>1.9</v>
      </c>
      <c r="N26" s="23"/>
      <c r="O26" s="23"/>
      <c r="P26" s="38"/>
      <c r="Q26" s="55">
        <f t="shared" si="3"/>
        <v>6.1</v>
      </c>
      <c r="R26" s="55">
        <f t="shared" si="0"/>
        <v>1.9</v>
      </c>
      <c r="S26" s="55">
        <f t="shared" si="1"/>
        <v>3.5999999999999996</v>
      </c>
      <c r="T26" s="56">
        <f t="shared" si="2"/>
        <v>1.4933184523068075</v>
      </c>
      <c r="U26" s="86" t="str">
        <f t="shared" si="4"/>
        <v>보통</v>
      </c>
    </row>
    <row r="27" spans="1:21" ht="20.100000000000001" customHeight="1" x14ac:dyDescent="0.3">
      <c r="A27" s="18">
        <v>33</v>
      </c>
      <c r="B27" s="109"/>
      <c r="C27" s="1" t="s">
        <v>22</v>
      </c>
      <c r="D27" s="33" t="s">
        <v>61</v>
      </c>
      <c r="E27" s="53">
        <f>'202601'!G27</f>
        <v>5</v>
      </c>
      <c r="F27" s="53">
        <f>'202602'!G27</f>
        <v>3.9</v>
      </c>
      <c r="G27" s="54">
        <f>'202603'!G27</f>
        <v>5</v>
      </c>
      <c r="H27" s="54">
        <f>'202604'!G27</f>
        <v>6.8</v>
      </c>
      <c r="I27" s="54">
        <f>'202605'!G27</f>
        <v>2.7</v>
      </c>
      <c r="J27" s="54">
        <f>'202606'!G27</f>
        <v>4.5</v>
      </c>
      <c r="K27" s="53">
        <f>'202607'!G27</f>
        <v>3.7</v>
      </c>
      <c r="L27" s="53">
        <f>'202608'!G27</f>
        <v>3</v>
      </c>
      <c r="M27" s="53">
        <f>'202609'!G27</f>
        <v>3</v>
      </c>
      <c r="N27" s="23"/>
      <c r="O27" s="23"/>
      <c r="P27" s="38"/>
      <c r="Q27" s="55">
        <f t="shared" si="3"/>
        <v>6.8</v>
      </c>
      <c r="R27" s="57">
        <f t="shared" si="0"/>
        <v>2.7</v>
      </c>
      <c r="S27" s="58">
        <f>AVERAGE(E27:P27)</f>
        <v>4.1777777777777771</v>
      </c>
      <c r="T27" s="56">
        <f t="shared" si="2"/>
        <v>1.3036274178017477</v>
      </c>
      <c r="U27" s="86" t="str">
        <f t="shared" si="4"/>
        <v>보통</v>
      </c>
    </row>
    <row r="28" spans="1:21" ht="20.100000000000001" customHeight="1" x14ac:dyDescent="0.3">
      <c r="A28" s="18">
        <v>34</v>
      </c>
      <c r="B28" s="109"/>
      <c r="C28" s="1" t="s">
        <v>23</v>
      </c>
      <c r="D28" s="33" t="s">
        <v>24</v>
      </c>
      <c r="E28" s="53">
        <f>'202601'!G28</f>
        <v>4.0999999999999996</v>
      </c>
      <c r="F28" s="53">
        <f>'202602'!G28</f>
        <v>2.5</v>
      </c>
      <c r="G28" s="54">
        <f>'202603'!G28</f>
        <v>4.2</v>
      </c>
      <c r="H28" s="54">
        <f>'202604'!G28</f>
        <v>2.8</v>
      </c>
      <c r="I28" s="54">
        <f>'202605'!G28</f>
        <v>3.9</v>
      </c>
      <c r="J28" s="54">
        <f>'202606'!G28</f>
        <v>5.7</v>
      </c>
      <c r="K28" s="53">
        <f>'202607'!G28</f>
        <v>3.4</v>
      </c>
      <c r="L28" s="53">
        <f>'202608'!G28</f>
        <v>3.9</v>
      </c>
      <c r="M28" s="53">
        <f>'202609'!G28</f>
        <v>3.9</v>
      </c>
      <c r="N28" s="23"/>
      <c r="O28" s="23"/>
      <c r="P28" s="38"/>
      <c r="Q28" s="55">
        <f t="shared" si="3"/>
        <v>5.7</v>
      </c>
      <c r="R28" s="55">
        <f t="shared" si="0"/>
        <v>2.5</v>
      </c>
      <c r="S28" s="58">
        <f>AVERAGE(E28:P28)</f>
        <v>3.822222222222222</v>
      </c>
      <c r="T28" s="56">
        <f t="shared" si="2"/>
        <v>0.91757530723338854</v>
      </c>
      <c r="U28" s="86" t="str">
        <f t="shared" si="4"/>
        <v>보통</v>
      </c>
    </row>
    <row r="29" spans="1:21" ht="20.100000000000001" customHeight="1" x14ac:dyDescent="0.3">
      <c r="A29" s="18">
        <v>35</v>
      </c>
      <c r="B29" s="109"/>
      <c r="C29" s="1" t="s">
        <v>64</v>
      </c>
      <c r="D29" s="33" t="s">
        <v>89</v>
      </c>
      <c r="E29" s="53">
        <f>'202601'!G29</f>
        <v>6.2</v>
      </c>
      <c r="F29" s="53">
        <f>'202602'!G29</f>
        <v>3</v>
      </c>
      <c r="G29" s="54">
        <f>'202603'!G29</f>
        <v>5.6</v>
      </c>
      <c r="H29" s="54">
        <f>'202604'!G29</f>
        <v>2.5</v>
      </c>
      <c r="I29" s="54">
        <f>'202605'!G29</f>
        <v>4.7</v>
      </c>
      <c r="J29" s="54">
        <f>'202606'!G29</f>
        <v>4.5999999999999996</v>
      </c>
      <c r="K29" s="53">
        <f>'202607'!G29</f>
        <v>4</v>
      </c>
      <c r="L29" s="53">
        <f>'202608'!G29</f>
        <v>3.5</v>
      </c>
      <c r="M29" s="53">
        <f>'202609'!G29</f>
        <v>3.5</v>
      </c>
      <c r="N29" s="23"/>
      <c r="O29" s="23"/>
      <c r="P29" s="38"/>
      <c r="Q29" s="55">
        <f t="shared" si="3"/>
        <v>6.2</v>
      </c>
      <c r="R29" s="55">
        <f t="shared" si="0"/>
        <v>2.5</v>
      </c>
      <c r="S29" s="55">
        <f>AVERAGE(E29:P29)</f>
        <v>4.1777777777777771</v>
      </c>
      <c r="T29" s="56">
        <f t="shared" si="2"/>
        <v>1.21014232404476</v>
      </c>
      <c r="U29" s="86" t="str">
        <f t="shared" si="4"/>
        <v>보통</v>
      </c>
    </row>
    <row r="30" spans="1:21" ht="20.100000000000001" customHeight="1" x14ac:dyDescent="0.3">
      <c r="A30" s="18">
        <v>36</v>
      </c>
      <c r="B30" s="109"/>
      <c r="C30" s="1" t="s">
        <v>27</v>
      </c>
      <c r="D30" s="33" t="s">
        <v>62</v>
      </c>
      <c r="E30" s="53">
        <f>'202601'!G30</f>
        <v>6.1</v>
      </c>
      <c r="F30" s="53">
        <f>'202602'!G30</f>
        <v>2.7</v>
      </c>
      <c r="G30" s="54">
        <f>'202603'!G30</f>
        <v>4.9000000000000004</v>
      </c>
      <c r="H30" s="54">
        <f>'202604'!G30</f>
        <v>9.6</v>
      </c>
      <c r="I30" s="54">
        <f>'202605'!G30</f>
        <v>6</v>
      </c>
      <c r="J30" s="54">
        <f>'202606'!G30</f>
        <v>1.2</v>
      </c>
      <c r="K30" s="53">
        <f>'202607'!G30</f>
        <v>2.9</v>
      </c>
      <c r="L30" s="53">
        <f>'202608'!G30</f>
        <v>3.3</v>
      </c>
      <c r="M30" s="53">
        <f>'202609'!G30</f>
        <v>3.3</v>
      </c>
      <c r="N30" s="23"/>
      <c r="O30" s="23"/>
      <c r="P30" s="38"/>
      <c r="Q30" s="55">
        <f t="shared" si="3"/>
        <v>9.6</v>
      </c>
      <c r="R30" s="55">
        <f t="shared" si="0"/>
        <v>1.2</v>
      </c>
      <c r="S30" s="55">
        <f t="shared" si="1"/>
        <v>4.4444444444444438</v>
      </c>
      <c r="T30" s="56">
        <f t="shared" si="2"/>
        <v>2.5130216429186958</v>
      </c>
      <c r="U30" s="86" t="str">
        <f t="shared" si="4"/>
        <v>보통</v>
      </c>
    </row>
    <row r="31" spans="1:21" s="20" customFormat="1" ht="20.100000000000001" customHeight="1" x14ac:dyDescent="0.3">
      <c r="A31" s="18">
        <v>37</v>
      </c>
      <c r="B31" s="109"/>
      <c r="C31" s="1" t="s">
        <v>25</v>
      </c>
      <c r="D31" s="33" t="s">
        <v>26</v>
      </c>
      <c r="E31" s="53">
        <f>'202601'!G31</f>
        <v>6.5</v>
      </c>
      <c r="F31" s="53">
        <f>'202602'!G31</f>
        <v>2.5</v>
      </c>
      <c r="G31" s="54">
        <f>'202603'!G31</f>
        <v>6.8</v>
      </c>
      <c r="H31" s="54">
        <f>'202604'!G31</f>
        <v>4.5999999999999996</v>
      </c>
      <c r="I31" s="54">
        <f>'202605'!G31</f>
        <v>4.8</v>
      </c>
      <c r="J31" s="54">
        <f>'202606'!G31</f>
        <v>1.8</v>
      </c>
      <c r="K31" s="53">
        <f>'202607'!G31</f>
        <v>2.1</v>
      </c>
      <c r="L31" s="53">
        <f>'202608'!G31</f>
        <v>3</v>
      </c>
      <c r="M31" s="53">
        <f>'202609'!G31</f>
        <v>3</v>
      </c>
      <c r="N31" s="23"/>
      <c r="O31" s="23"/>
      <c r="P31" s="38"/>
      <c r="Q31" s="55">
        <f t="shared" si="3"/>
        <v>6.8</v>
      </c>
      <c r="R31" s="55">
        <f t="shared" si="0"/>
        <v>1.8</v>
      </c>
      <c r="S31" s="55">
        <f t="shared" si="1"/>
        <v>3.9000000000000004</v>
      </c>
      <c r="T31" s="56">
        <f t="shared" si="2"/>
        <v>1.86077940659284</v>
      </c>
      <c r="U31" s="86" t="str">
        <f t="shared" si="4"/>
        <v>보통</v>
      </c>
    </row>
    <row r="32" spans="1:21" s="20" customFormat="1" ht="20.100000000000001" customHeight="1" x14ac:dyDescent="0.3">
      <c r="A32" s="18">
        <v>38</v>
      </c>
      <c r="B32" s="110"/>
      <c r="C32" s="1" t="s">
        <v>28</v>
      </c>
      <c r="D32" s="33" t="s">
        <v>90</v>
      </c>
      <c r="E32" s="53">
        <f>'202601'!G32</f>
        <v>4.2</v>
      </c>
      <c r="F32" s="53">
        <f>'202602'!G32</f>
        <v>2.5</v>
      </c>
      <c r="G32" s="54">
        <f>'202603'!G32</f>
        <v>4</v>
      </c>
      <c r="H32" s="54">
        <f>'202604'!G32</f>
        <v>3</v>
      </c>
      <c r="I32" s="54">
        <f>'202605'!G32</f>
        <v>4.4000000000000004</v>
      </c>
      <c r="J32" s="54">
        <f>'202606'!G32</f>
        <v>1.5</v>
      </c>
      <c r="K32" s="53">
        <f>'202607'!G32</f>
        <v>2.2000000000000002</v>
      </c>
      <c r="L32" s="53">
        <f>'202608'!G32</f>
        <v>3</v>
      </c>
      <c r="M32" s="53">
        <f>'202609'!G32</f>
        <v>3</v>
      </c>
      <c r="N32" s="23"/>
      <c r="O32" s="23"/>
      <c r="P32" s="38"/>
      <c r="Q32" s="55">
        <f t="shared" si="3"/>
        <v>4.4000000000000004</v>
      </c>
      <c r="R32" s="55">
        <f t="shared" si="0"/>
        <v>1.5</v>
      </c>
      <c r="S32" s="58">
        <f>AVERAGE(E32:P32)</f>
        <v>3.088888888888889</v>
      </c>
      <c r="T32" s="56">
        <f t="shared" si="2"/>
        <v>0.96623553604238266</v>
      </c>
      <c r="U32" s="86" t="str">
        <f t="shared" si="4"/>
        <v>보통</v>
      </c>
    </row>
    <row r="33" spans="1:21" ht="20.100000000000001" customHeight="1" x14ac:dyDescent="0.3">
      <c r="A33" s="18">
        <v>39</v>
      </c>
      <c r="B33" s="1" t="s">
        <v>115</v>
      </c>
      <c r="C33" s="1" t="s">
        <v>43</v>
      </c>
      <c r="D33" s="33" t="s">
        <v>30</v>
      </c>
      <c r="E33" s="53">
        <f>'202601'!G33</f>
        <v>18.399999999999999</v>
      </c>
      <c r="F33" s="53">
        <f>'202602'!G33</f>
        <v>2.7</v>
      </c>
      <c r="G33" s="54">
        <f>'202603'!G33</f>
        <v>3.3</v>
      </c>
      <c r="H33" s="54">
        <f>'202604'!G33</f>
        <v>4.2</v>
      </c>
      <c r="I33" s="54">
        <f>'202605'!G33</f>
        <v>6.1</v>
      </c>
      <c r="J33" s="54">
        <f>'202606'!G33</f>
        <v>4.7</v>
      </c>
      <c r="K33" s="53">
        <f>'202607'!G33</f>
        <v>1.9</v>
      </c>
      <c r="L33" s="53">
        <f>'202608'!G33</f>
        <v>1.9</v>
      </c>
      <c r="M33" s="53">
        <f>'202609'!G33</f>
        <v>1.9</v>
      </c>
      <c r="N33" s="23"/>
      <c r="O33" s="23"/>
      <c r="P33" s="38"/>
      <c r="Q33" s="55">
        <f t="shared" si="3"/>
        <v>18.399999999999999</v>
      </c>
      <c r="R33" s="55">
        <f t="shared" si="0"/>
        <v>1.9</v>
      </c>
      <c r="S33" s="55">
        <f t="shared" si="1"/>
        <v>5.0111111111111102</v>
      </c>
      <c r="T33" s="56">
        <f t="shared" si="2"/>
        <v>5.2262425423157612</v>
      </c>
      <c r="U33" s="86" t="str">
        <f t="shared" si="4"/>
        <v>약간나쁨</v>
      </c>
    </row>
    <row r="34" spans="1:21" ht="20.100000000000001" customHeight="1" x14ac:dyDescent="0.3">
      <c r="A34" s="18">
        <v>44</v>
      </c>
      <c r="B34" s="1" t="s">
        <v>116</v>
      </c>
      <c r="C34" s="1" t="s">
        <v>31</v>
      </c>
      <c r="D34" s="33" t="s">
        <v>32</v>
      </c>
      <c r="E34" s="53">
        <f>'202601'!G34</f>
        <v>12.3</v>
      </c>
      <c r="F34" s="53">
        <f>'202602'!G34</f>
        <v>3.8</v>
      </c>
      <c r="G34" s="54">
        <f>'202603'!G34</f>
        <v>6.6</v>
      </c>
      <c r="H34" s="54">
        <f>'202604'!G34</f>
        <v>4.0999999999999996</v>
      </c>
      <c r="I34" s="54">
        <f>'202605'!G34</f>
        <v>8.1</v>
      </c>
      <c r="J34" s="54">
        <f>'202606'!G34</f>
        <v>5.2</v>
      </c>
      <c r="K34" s="53">
        <f>'202607'!G34</f>
        <v>2.9</v>
      </c>
      <c r="L34" s="53">
        <f>'202608'!G34</f>
        <v>5</v>
      </c>
      <c r="M34" s="53">
        <f>'202609'!G34</f>
        <v>5</v>
      </c>
      <c r="N34" s="23"/>
      <c r="O34" s="23"/>
      <c r="P34" s="38"/>
      <c r="Q34" s="55">
        <f t="shared" si="3"/>
        <v>12.3</v>
      </c>
      <c r="R34" s="55">
        <f t="shared" si="0"/>
        <v>2.9</v>
      </c>
      <c r="S34" s="55">
        <f>AVERAGE(E34:P34)</f>
        <v>5.8888888888888893</v>
      </c>
      <c r="T34" s="56">
        <f t="shared" si="2"/>
        <v>2.8515103210598958</v>
      </c>
      <c r="U34" s="86" t="str">
        <f t="shared" si="4"/>
        <v>약간나쁨</v>
      </c>
    </row>
    <row r="35" spans="1:21" ht="20.100000000000001" customHeight="1" x14ac:dyDescent="0.3">
      <c r="A35" s="18">
        <v>46</v>
      </c>
      <c r="B35" s="1" t="s">
        <v>117</v>
      </c>
      <c r="C35" s="1" t="s">
        <v>103</v>
      </c>
      <c r="D35" s="33" t="s">
        <v>122</v>
      </c>
      <c r="E35" s="53">
        <f>'202601'!G35</f>
        <v>2.1</v>
      </c>
      <c r="F35" s="53">
        <f>'202602'!G35</f>
        <v>2.2999999999999998</v>
      </c>
      <c r="G35" s="54">
        <f>'202603'!G35</f>
        <v>2.2000000000000002</v>
      </c>
      <c r="H35" s="54">
        <f>'202604'!G35</f>
        <v>2.7</v>
      </c>
      <c r="I35" s="54">
        <f>'202605'!G35</f>
        <v>2.8</v>
      </c>
      <c r="J35" s="54">
        <f>'202606'!G35</f>
        <v>2</v>
      </c>
      <c r="K35" s="53">
        <f>'202607'!G35</f>
        <v>1.4</v>
      </c>
      <c r="L35" s="53">
        <f>'202608'!G35</f>
        <v>0.4</v>
      </c>
      <c r="M35" s="53">
        <f>'202609'!G35</f>
        <v>0.4</v>
      </c>
      <c r="N35" s="23"/>
      <c r="O35" s="23"/>
      <c r="P35" s="38"/>
      <c r="Q35" s="55">
        <f t="shared" si="3"/>
        <v>2.8</v>
      </c>
      <c r="R35" s="55">
        <f t="shared" si="0"/>
        <v>0.4</v>
      </c>
      <c r="S35" s="55">
        <f t="shared" si="1"/>
        <v>1.8111111111111111</v>
      </c>
      <c r="T35" s="56">
        <f t="shared" si="2"/>
        <v>0.89644359059067991</v>
      </c>
      <c r="U35" s="86" t="str">
        <f t="shared" si="4"/>
        <v>좋음</v>
      </c>
    </row>
    <row r="36" spans="1:21" ht="20.100000000000001" customHeight="1" x14ac:dyDescent="0.3">
      <c r="A36" s="18">
        <v>47</v>
      </c>
      <c r="B36" s="34" t="s">
        <v>118</v>
      </c>
      <c r="C36" s="1" t="s">
        <v>104</v>
      </c>
      <c r="D36" s="33" t="s">
        <v>105</v>
      </c>
      <c r="E36" s="53">
        <f>'202601'!G36</f>
        <v>10.199999999999999</v>
      </c>
      <c r="F36" s="53">
        <f>'202602'!G36</f>
        <v>4</v>
      </c>
      <c r="G36" s="54">
        <f>'202603'!G36</f>
        <v>3.8</v>
      </c>
      <c r="H36" s="54">
        <f>'202604'!G36</f>
        <v>5.7</v>
      </c>
      <c r="I36" s="54">
        <f>'202605'!G36</f>
        <v>5.5</v>
      </c>
      <c r="J36" s="54">
        <f>'202606'!G36</f>
        <v>1.4</v>
      </c>
      <c r="K36" s="53">
        <f>'202607'!G36</f>
        <v>1.2</v>
      </c>
      <c r="L36" s="53">
        <f>'202608'!G36</f>
        <v>1.2</v>
      </c>
      <c r="M36" s="53">
        <f>'202609'!G36</f>
        <v>1.2</v>
      </c>
      <c r="N36" s="23"/>
      <c r="O36" s="23"/>
      <c r="P36" s="38"/>
      <c r="Q36" s="55">
        <f t="shared" si="3"/>
        <v>10.199999999999999</v>
      </c>
      <c r="R36" s="55">
        <f t="shared" si="0"/>
        <v>1.2</v>
      </c>
      <c r="S36" s="55">
        <f t="shared" si="1"/>
        <v>3.8000000000000003</v>
      </c>
      <c r="T36" s="56">
        <f t="shared" si="2"/>
        <v>3.0319135871591061</v>
      </c>
      <c r="U36" s="86" t="str">
        <f t="shared" si="4"/>
        <v>보통</v>
      </c>
    </row>
    <row r="37" spans="1:21" ht="20.100000000000001" customHeight="1" x14ac:dyDescent="0.3">
      <c r="A37" s="18">
        <v>49</v>
      </c>
      <c r="B37" s="48" t="s">
        <v>119</v>
      </c>
      <c r="C37" s="1" t="s">
        <v>98</v>
      </c>
      <c r="D37" s="33" t="s">
        <v>99</v>
      </c>
      <c r="E37" s="53">
        <f>'202601'!G37</f>
        <v>4.0999999999999996</v>
      </c>
      <c r="F37" s="53">
        <f>'202602'!G37</f>
        <v>2.2999999999999998</v>
      </c>
      <c r="G37" s="54">
        <f>'202603'!G37</f>
        <v>2.8</v>
      </c>
      <c r="H37" s="54">
        <f>'202604'!G37</f>
        <v>2.1</v>
      </c>
      <c r="I37" s="54">
        <f>'202605'!G37</f>
        <v>5.2</v>
      </c>
      <c r="J37" s="54">
        <f>'202606'!G37</f>
        <v>3.5</v>
      </c>
      <c r="K37" s="53">
        <f>'202607'!G37</f>
        <v>1.2</v>
      </c>
      <c r="L37" s="53">
        <f>'202608'!G37</f>
        <v>2.8</v>
      </c>
      <c r="M37" s="53">
        <f>'202609'!G37</f>
        <v>2.8</v>
      </c>
      <c r="N37" s="23"/>
      <c r="O37" s="23"/>
      <c r="P37" s="38"/>
      <c r="Q37" s="55">
        <f t="shared" si="3"/>
        <v>5.2</v>
      </c>
      <c r="R37" s="55">
        <f t="shared" si="0"/>
        <v>1.2</v>
      </c>
      <c r="S37" s="55">
        <f t="shared" si="1"/>
        <v>2.9777777777777779</v>
      </c>
      <c r="T37" s="56">
        <f t="shared" si="2"/>
        <v>1.1702326454361309</v>
      </c>
      <c r="U37" s="86" t="str">
        <f t="shared" si="4"/>
        <v>약간좋음</v>
      </c>
    </row>
    <row r="38" spans="1:21" ht="20.100000000000001" customHeight="1" x14ac:dyDescent="0.3">
      <c r="A38" s="18">
        <v>50</v>
      </c>
      <c r="B38" s="1" t="s">
        <v>120</v>
      </c>
      <c r="C38" s="1" t="s">
        <v>29</v>
      </c>
      <c r="D38" s="33" t="s">
        <v>80</v>
      </c>
      <c r="E38" s="53">
        <f>'202601'!G38</f>
        <v>1.7</v>
      </c>
      <c r="F38" s="53">
        <f>'202602'!G38</f>
        <v>1.7</v>
      </c>
      <c r="G38" s="54">
        <f>'202603'!G38</f>
        <v>2.2000000000000002</v>
      </c>
      <c r="H38" s="54">
        <f>'202604'!G38</f>
        <v>1.4</v>
      </c>
      <c r="I38" s="54">
        <f>'202605'!G38</f>
        <v>3.8</v>
      </c>
      <c r="J38" s="54">
        <f>'202606'!G38</f>
        <v>2.2000000000000002</v>
      </c>
      <c r="K38" s="53">
        <f>'202607'!G38</f>
        <v>1.3</v>
      </c>
      <c r="L38" s="53">
        <f>'202608'!G38</f>
        <v>0.8</v>
      </c>
      <c r="M38" s="53">
        <f>'202609'!G38</f>
        <v>0.8</v>
      </c>
      <c r="N38" s="23"/>
      <c r="O38" s="23"/>
      <c r="P38" s="38"/>
      <c r="Q38" s="55">
        <f t="shared" si="3"/>
        <v>3.8</v>
      </c>
      <c r="R38" s="55">
        <f t="shared" si="0"/>
        <v>0.8</v>
      </c>
      <c r="S38" s="55">
        <f t="shared" si="1"/>
        <v>1.7666666666666668</v>
      </c>
      <c r="T38" s="56">
        <f t="shared" si="2"/>
        <v>0.9178779875342904</v>
      </c>
      <c r="U38" s="86" t="str">
        <f t="shared" si="4"/>
        <v>좋음</v>
      </c>
    </row>
    <row r="39" spans="1:21" ht="19.5" customHeight="1" x14ac:dyDescent="0.3">
      <c r="B39" s="35" t="s">
        <v>121</v>
      </c>
      <c r="C39" s="35" t="s">
        <v>37</v>
      </c>
      <c r="D39" s="33" t="s">
        <v>92</v>
      </c>
      <c r="E39" s="53">
        <f>'202601'!G39</f>
        <v>2.7</v>
      </c>
      <c r="F39" s="53">
        <f>'202602'!G39</f>
        <v>2.8</v>
      </c>
      <c r="G39" s="54">
        <f>'202603'!G39</f>
        <v>4.0999999999999996</v>
      </c>
      <c r="H39" s="54">
        <f>'202604'!G39</f>
        <v>9.1999999999999993</v>
      </c>
      <c r="I39" s="97">
        <f>'202605'!G39</f>
        <v>24.2</v>
      </c>
      <c r="J39" s="54">
        <f>'202606'!G39</f>
        <v>5.6</v>
      </c>
      <c r="K39" s="53">
        <f>'202607'!G39</f>
        <v>3.8</v>
      </c>
      <c r="L39" s="53">
        <f>'202608'!G39</f>
        <v>5.9</v>
      </c>
      <c r="M39" s="53">
        <f>'202609'!G39</f>
        <v>5.9</v>
      </c>
      <c r="N39" s="6"/>
      <c r="O39" s="6"/>
      <c r="P39" s="6"/>
      <c r="Q39" s="55">
        <f t="shared" si="3"/>
        <v>24.2</v>
      </c>
      <c r="R39" s="55">
        <f t="shared" si="0"/>
        <v>2.7</v>
      </c>
      <c r="S39" s="55">
        <f>AVERAGE(E39:P39)</f>
        <v>7.1333333333333337</v>
      </c>
      <c r="T39" s="56">
        <f t="shared" si="2"/>
        <v>6.7052218456960846</v>
      </c>
      <c r="U39" s="86" t="str">
        <f t="shared" si="4"/>
        <v>약간나쁨</v>
      </c>
    </row>
    <row r="40" spans="1:21" ht="16.5" customHeight="1" x14ac:dyDescent="0.3">
      <c r="C40" s="17"/>
    </row>
    <row r="43" spans="1:21" x14ac:dyDescent="0.3">
      <c r="P43" s="25"/>
    </row>
  </sheetData>
  <mergeCells count="5">
    <mergeCell ref="A1:T1"/>
    <mergeCell ref="B3:B6"/>
    <mergeCell ref="B12:B16"/>
    <mergeCell ref="B17:B18"/>
    <mergeCell ref="B20:B32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12CE-5BB0-4BE0-9F12-05DD44335517}">
  <sheetPr>
    <tabColor theme="9" tint="0.79998168889431442"/>
  </sheetPr>
  <dimension ref="A1:W43"/>
  <sheetViews>
    <sheetView topLeftCell="B1" zoomScaleNormal="100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M21" activeCellId="3" sqref="M10 M12 M9 M21"/>
    </sheetView>
  </sheetViews>
  <sheetFormatPr defaultRowHeight="14.25" x14ac:dyDescent="0.3"/>
  <cols>
    <col min="1" max="1" width="4.75" style="11" bestFit="1" customWidth="1"/>
    <col min="2" max="2" width="9.125" style="11" customWidth="1"/>
    <col min="3" max="3" width="12.25" style="11" bestFit="1" customWidth="1"/>
    <col min="4" max="4" width="44" style="17" bestFit="1" customWidth="1"/>
    <col min="5" max="5" width="8.125" style="16" customWidth="1"/>
    <col min="6" max="6" width="9.75" style="16" customWidth="1"/>
    <col min="7" max="15" width="8.125" style="16" customWidth="1"/>
    <col min="16" max="16" width="7.5" style="16" customWidth="1"/>
    <col min="17" max="17" width="8.125" style="7" customWidth="1"/>
    <col min="18" max="18" width="12.875" style="11" customWidth="1"/>
    <col min="19" max="20" width="12.875" style="17" customWidth="1"/>
    <col min="21" max="21" width="16.25" style="17" bestFit="1" customWidth="1"/>
    <col min="22" max="16384" width="9" style="17"/>
  </cols>
  <sheetData>
    <row r="1" spans="1:23" ht="35.25" customHeight="1" x14ac:dyDescent="0.3">
      <c r="A1" s="111" t="s">
        <v>127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3" ht="25.5" customHeight="1" x14ac:dyDescent="0.3">
      <c r="A2" s="13" t="s">
        <v>33</v>
      </c>
      <c r="B2" s="14" t="s">
        <v>34</v>
      </c>
      <c r="C2" s="14" t="s">
        <v>0</v>
      </c>
      <c r="D2" s="15" t="s">
        <v>1</v>
      </c>
      <c r="E2" s="47" t="s">
        <v>69</v>
      </c>
      <c r="F2" s="47" t="s">
        <v>70</v>
      </c>
      <c r="G2" s="47" t="s">
        <v>71</v>
      </c>
      <c r="H2" s="47" t="s">
        <v>72</v>
      </c>
      <c r="I2" s="47" t="s">
        <v>73</v>
      </c>
      <c r="J2" s="47" t="s">
        <v>74</v>
      </c>
      <c r="K2" s="47" t="s">
        <v>75</v>
      </c>
      <c r="L2" s="47" t="s">
        <v>68</v>
      </c>
      <c r="M2" s="47" t="s">
        <v>81</v>
      </c>
      <c r="N2" s="47" t="s">
        <v>82</v>
      </c>
      <c r="O2" s="47" t="s">
        <v>83</v>
      </c>
      <c r="P2" s="47" t="s">
        <v>84</v>
      </c>
      <c r="Q2" s="9" t="s">
        <v>78</v>
      </c>
      <c r="R2" s="12" t="s">
        <v>79</v>
      </c>
      <c r="S2" s="12" t="s">
        <v>76</v>
      </c>
      <c r="T2" s="45" t="s">
        <v>77</v>
      </c>
      <c r="U2" s="86" t="s">
        <v>250</v>
      </c>
    </row>
    <row r="3" spans="1:23" ht="20.100000000000001" customHeight="1" x14ac:dyDescent="0.3">
      <c r="A3" s="18">
        <v>2</v>
      </c>
      <c r="B3" s="108" t="s">
        <v>66</v>
      </c>
      <c r="C3" s="1" t="s">
        <v>38</v>
      </c>
      <c r="D3" s="33" t="s">
        <v>46</v>
      </c>
      <c r="E3" s="53">
        <f>'202601'!H3</f>
        <v>2.9</v>
      </c>
      <c r="F3" s="53">
        <f>'202602'!H3</f>
        <v>4.8</v>
      </c>
      <c r="G3" s="54">
        <f>'202603'!H3</f>
        <v>2.4</v>
      </c>
      <c r="H3" s="54">
        <f>'202604'!H3</f>
        <v>3.9</v>
      </c>
      <c r="I3" s="54">
        <f>'202605'!H3</f>
        <v>17.5</v>
      </c>
      <c r="J3" s="54">
        <f>'202606'!H3</f>
        <v>9.6</v>
      </c>
      <c r="K3" s="54">
        <f>'202607'!H3</f>
        <v>3.1</v>
      </c>
      <c r="L3" s="54">
        <f>'202608'!H3</f>
        <v>6</v>
      </c>
      <c r="M3" s="53">
        <f>'202609'!H3</f>
        <v>1.4</v>
      </c>
      <c r="N3" s="23"/>
      <c r="O3" s="23"/>
      <c r="P3" s="38"/>
      <c r="Q3" s="55">
        <f>MAX(E3:P3)</f>
        <v>17.5</v>
      </c>
      <c r="R3" s="55">
        <f t="shared" ref="R3:R39" si="0">MIN(E3:P3)</f>
        <v>1.4</v>
      </c>
      <c r="S3" s="55">
        <f t="shared" ref="S3:S38" si="1">AVERAGE(E3:P3)</f>
        <v>5.7333333333333334</v>
      </c>
      <c r="T3" s="56">
        <f t="shared" ref="T3:T39" si="2">STDEV(E3:P3)</f>
        <v>5.0318982501636507</v>
      </c>
      <c r="U3" s="86" t="str">
        <f>IF(S3&lt;=25, "매우좋음", IF(S3&lt;=25, "좋음", IF(S3&lt;=25, "약간좋음", IF(S3&lt;=25, "보통", IF(S3&lt;=100, "약간나쁨", IF(S3&lt;=100, "나쁨", "매우나쁨"))))))</f>
        <v>매우좋음</v>
      </c>
    </row>
    <row r="4" spans="1:23" ht="20.100000000000001" customHeight="1" x14ac:dyDescent="0.3">
      <c r="A4" s="18">
        <v>3</v>
      </c>
      <c r="B4" s="109"/>
      <c r="C4" s="1" t="s">
        <v>8</v>
      </c>
      <c r="D4" s="33" t="s">
        <v>47</v>
      </c>
      <c r="E4" s="53">
        <f>'202601'!H4</f>
        <v>1.5</v>
      </c>
      <c r="F4" s="53">
        <f>'202602'!H4</f>
        <v>1.3</v>
      </c>
      <c r="G4" s="54">
        <f>'202603'!H4</f>
        <v>2.9</v>
      </c>
      <c r="H4" s="54">
        <f>'202604'!H4</f>
        <v>7</v>
      </c>
      <c r="I4" s="54">
        <f>'202605'!H4</f>
        <v>10.5</v>
      </c>
      <c r="J4" s="54">
        <f>'202606'!H4</f>
        <v>13.4</v>
      </c>
      <c r="K4" s="54">
        <f>'202607'!H4</f>
        <v>18.8</v>
      </c>
      <c r="L4" s="54">
        <f>'202608'!H4</f>
        <v>3.7</v>
      </c>
      <c r="M4" s="53">
        <f>'202609'!H4</f>
        <v>4.8</v>
      </c>
      <c r="N4" s="23"/>
      <c r="O4" s="23"/>
      <c r="P4" s="38"/>
      <c r="Q4" s="55">
        <f t="shared" ref="Q4:Q39" si="3">MAX(E4:P4)</f>
        <v>18.8</v>
      </c>
      <c r="R4" s="55">
        <f t="shared" si="0"/>
        <v>1.3</v>
      </c>
      <c r="S4" s="55">
        <f t="shared" si="1"/>
        <v>7.1000000000000005</v>
      </c>
      <c r="T4" s="56">
        <f t="shared" si="2"/>
        <v>5.9962488273920043</v>
      </c>
      <c r="U4" s="86" t="str">
        <f t="shared" ref="U4:U39" si="4">IF(S4&lt;=25, "매우좋음", IF(S4&lt;=25, "좋음", IF(S4&lt;=25, "약간좋음", IF(S4&lt;=25, "보통", IF(S4&lt;=100, "약간나쁨", IF(S4&lt;=100, "나쁨", "매우나쁨"))))))</f>
        <v>매우좋음</v>
      </c>
    </row>
    <row r="5" spans="1:23" ht="20.100000000000001" customHeight="1" x14ac:dyDescent="0.3">
      <c r="A5" s="18">
        <v>4</v>
      </c>
      <c r="B5" s="109"/>
      <c r="C5" s="1" t="s">
        <v>9</v>
      </c>
      <c r="D5" s="33" t="s">
        <v>48</v>
      </c>
      <c r="E5" s="53">
        <f>'202601'!H5</f>
        <v>0.9</v>
      </c>
      <c r="F5" s="53">
        <f>'202602'!H5</f>
        <v>1.5</v>
      </c>
      <c r="G5" s="54">
        <f>'202603'!H5</f>
        <v>2.8</v>
      </c>
      <c r="H5" s="54">
        <f>'202604'!H5</f>
        <v>8</v>
      </c>
      <c r="I5" s="54">
        <f>'202605'!H5</f>
        <v>19.100000000000001</v>
      </c>
      <c r="J5" s="54">
        <f>'202606'!H5</f>
        <v>12.2</v>
      </c>
      <c r="K5" s="54">
        <f>'202607'!H5</f>
        <v>19.5</v>
      </c>
      <c r="L5" s="54">
        <f>'202608'!H5</f>
        <v>4.3</v>
      </c>
      <c r="M5" s="53">
        <f>'202609'!H5</f>
        <v>3.8</v>
      </c>
      <c r="N5" s="23"/>
      <c r="O5" s="23"/>
      <c r="P5" s="38"/>
      <c r="Q5" s="55">
        <f t="shared" si="3"/>
        <v>19.5</v>
      </c>
      <c r="R5" s="55">
        <f t="shared" si="0"/>
        <v>0.9</v>
      </c>
      <c r="S5" s="55">
        <f t="shared" si="1"/>
        <v>8.0111111111111111</v>
      </c>
      <c r="T5" s="56">
        <f t="shared" si="2"/>
        <v>7.2812163208567791</v>
      </c>
      <c r="U5" s="86" t="str">
        <f t="shared" si="4"/>
        <v>매우좋음</v>
      </c>
    </row>
    <row r="6" spans="1:23" ht="20.100000000000001" customHeight="1" x14ac:dyDescent="0.3">
      <c r="A6" s="18">
        <v>8</v>
      </c>
      <c r="B6" s="110"/>
      <c r="C6" s="1" t="s">
        <v>10</v>
      </c>
      <c r="D6" s="33" t="s">
        <v>97</v>
      </c>
      <c r="E6" s="53">
        <f>'202601'!H6</f>
        <v>0.8</v>
      </c>
      <c r="F6" s="53">
        <f>'202602'!H6</f>
        <v>2.7</v>
      </c>
      <c r="G6" s="54">
        <f>'202603'!H6</f>
        <v>2.5</v>
      </c>
      <c r="H6" s="54">
        <f>'202604'!H6</f>
        <v>8.8000000000000007</v>
      </c>
      <c r="I6" s="54">
        <f>'202605'!H6</f>
        <v>12.9</v>
      </c>
      <c r="J6" s="54">
        <f>'202606'!H6</f>
        <v>11.8</v>
      </c>
      <c r="K6" s="54">
        <f>'202607'!H6</f>
        <v>18.7</v>
      </c>
      <c r="L6" s="54">
        <f>'202608'!H6</f>
        <v>5.7</v>
      </c>
      <c r="M6" s="53">
        <f>'202609'!H6</f>
        <v>2.6</v>
      </c>
      <c r="N6" s="23"/>
      <c r="O6" s="23"/>
      <c r="P6" s="38"/>
      <c r="Q6" s="55">
        <f t="shared" si="3"/>
        <v>18.7</v>
      </c>
      <c r="R6" s="55">
        <f t="shared" si="0"/>
        <v>0.8</v>
      </c>
      <c r="S6" s="57">
        <f>AVERAGE(E6:P6)</f>
        <v>7.3888888888888893</v>
      </c>
      <c r="T6" s="56">
        <f t="shared" si="2"/>
        <v>6.0709234150260141</v>
      </c>
      <c r="U6" s="86" t="str">
        <f t="shared" si="4"/>
        <v>매우좋음</v>
      </c>
    </row>
    <row r="7" spans="1:23" ht="20.100000000000001" customHeight="1" x14ac:dyDescent="0.3">
      <c r="A7" s="18">
        <v>10</v>
      </c>
      <c r="B7" s="48" t="s">
        <v>108</v>
      </c>
      <c r="C7" s="1" t="s">
        <v>39</v>
      </c>
      <c r="D7" s="33" t="s">
        <v>49</v>
      </c>
      <c r="E7" s="53">
        <f>'202601'!H7</f>
        <v>0.9</v>
      </c>
      <c r="F7" s="53">
        <f>'202602'!H7</f>
        <v>1.5</v>
      </c>
      <c r="G7" s="54">
        <f>'202603'!H7</f>
        <v>2.5</v>
      </c>
      <c r="H7" s="54">
        <f>'202604'!H7</f>
        <v>1.9</v>
      </c>
      <c r="I7" s="54">
        <f>'202605'!H7</f>
        <v>12.6</v>
      </c>
      <c r="J7" s="54">
        <f>'202606'!H7</f>
        <v>9.4</v>
      </c>
      <c r="K7" s="54">
        <f>'202607'!H7</f>
        <v>2.2000000000000002</v>
      </c>
      <c r="L7" s="54">
        <f>'202608'!H7</f>
        <v>2.6</v>
      </c>
      <c r="M7" s="53">
        <f>'202609'!H7</f>
        <v>5.2</v>
      </c>
      <c r="N7" s="23"/>
      <c r="O7" s="23"/>
      <c r="P7" s="38"/>
      <c r="Q7" s="55">
        <f t="shared" si="3"/>
        <v>12.6</v>
      </c>
      <c r="R7" s="55">
        <f t="shared" si="0"/>
        <v>0.9</v>
      </c>
      <c r="S7" s="55">
        <f t="shared" si="1"/>
        <v>4.3111111111111109</v>
      </c>
      <c r="T7" s="56">
        <f t="shared" si="2"/>
        <v>4.0529139037377924</v>
      </c>
      <c r="U7" s="86" t="str">
        <f t="shared" si="4"/>
        <v>매우좋음</v>
      </c>
    </row>
    <row r="8" spans="1:23" ht="20.100000000000001" customHeight="1" x14ac:dyDescent="0.3">
      <c r="A8" s="18">
        <v>11</v>
      </c>
      <c r="B8" s="41"/>
      <c r="C8" s="1" t="s">
        <v>11</v>
      </c>
      <c r="D8" s="33" t="s">
        <v>96</v>
      </c>
      <c r="E8" s="53">
        <f>'202601'!H8</f>
        <v>0.8</v>
      </c>
      <c r="F8" s="53">
        <f>'202602'!H8</f>
        <v>1.6</v>
      </c>
      <c r="G8" s="54">
        <f>'202603'!H8</f>
        <v>3.3</v>
      </c>
      <c r="H8" s="54">
        <f>'202604'!H8</f>
        <v>2.4</v>
      </c>
      <c r="I8" s="54">
        <f>'202605'!H8</f>
        <v>16</v>
      </c>
      <c r="J8" s="54">
        <f>'202606'!H8</f>
        <v>9.6</v>
      </c>
      <c r="K8" s="54">
        <f>'202607'!H8</f>
        <v>2.7</v>
      </c>
      <c r="L8" s="54">
        <f>'202608'!H8</f>
        <v>3.1</v>
      </c>
      <c r="M8" s="53">
        <f>'202609'!H8</f>
        <v>5.7</v>
      </c>
      <c r="N8" s="23"/>
      <c r="O8" s="23"/>
      <c r="P8" s="38"/>
      <c r="Q8" s="55">
        <f t="shared" si="3"/>
        <v>16</v>
      </c>
      <c r="R8" s="55">
        <f t="shared" si="0"/>
        <v>0.8</v>
      </c>
      <c r="S8" s="55">
        <f t="shared" si="1"/>
        <v>5.022222222222223</v>
      </c>
      <c r="T8" s="56">
        <f t="shared" si="2"/>
        <v>4.8784674278347326</v>
      </c>
      <c r="U8" s="86" t="str">
        <f t="shared" si="4"/>
        <v>매우좋음</v>
      </c>
    </row>
    <row r="9" spans="1:23" ht="20.100000000000001" customHeight="1" x14ac:dyDescent="0.3">
      <c r="A9" s="18">
        <v>12</v>
      </c>
      <c r="B9" s="42"/>
      <c r="C9" s="1" t="s">
        <v>12</v>
      </c>
      <c r="D9" s="33" t="s">
        <v>50</v>
      </c>
      <c r="E9" s="53">
        <f>'202601'!H9</f>
        <v>1.2</v>
      </c>
      <c r="F9" s="53">
        <f>'202602'!H9</f>
        <v>1.5</v>
      </c>
      <c r="G9" s="54">
        <f>'202603'!H9</f>
        <v>2.8</v>
      </c>
      <c r="H9" s="54">
        <f>'202604'!H9</f>
        <v>1.9</v>
      </c>
      <c r="I9" s="54">
        <f>'202605'!H9</f>
        <v>13</v>
      </c>
      <c r="J9" s="54">
        <f>'202606'!H9</f>
        <v>10.4</v>
      </c>
      <c r="K9" s="54">
        <f>'202607'!H9</f>
        <v>2.2999999999999998</v>
      </c>
      <c r="L9" s="54">
        <f>'202608'!H9</f>
        <v>2.9</v>
      </c>
      <c r="M9" s="116">
        <f>'202609'!H9</f>
        <v>27.6</v>
      </c>
      <c r="N9" s="23"/>
      <c r="O9" s="23"/>
      <c r="P9" s="38"/>
      <c r="Q9" s="55">
        <f t="shared" si="3"/>
        <v>27.6</v>
      </c>
      <c r="R9" s="55">
        <f t="shared" si="0"/>
        <v>1.2</v>
      </c>
      <c r="S9" s="55">
        <f>AVERAGE(E9:P9)</f>
        <v>7.0666666666666664</v>
      </c>
      <c r="T9" s="56">
        <f t="shared" si="2"/>
        <v>8.7914731416299077</v>
      </c>
      <c r="U9" s="86" t="str">
        <f t="shared" si="4"/>
        <v>매우좋음</v>
      </c>
    </row>
    <row r="10" spans="1:23" ht="20.100000000000001" customHeight="1" x14ac:dyDescent="0.3">
      <c r="A10" s="18">
        <v>13</v>
      </c>
      <c r="B10" s="1" t="s">
        <v>109</v>
      </c>
      <c r="C10" s="1" t="s">
        <v>35</v>
      </c>
      <c r="D10" s="33" t="s">
        <v>51</v>
      </c>
      <c r="E10" s="53">
        <f>'202601'!H10</f>
        <v>4.7</v>
      </c>
      <c r="F10" s="53">
        <f>'202602'!H10</f>
        <v>4.3</v>
      </c>
      <c r="G10" s="54">
        <f>'202603'!H10</f>
        <v>8.8000000000000007</v>
      </c>
      <c r="H10" s="54">
        <f>'202604'!H10</f>
        <v>1.3</v>
      </c>
      <c r="I10" s="54">
        <f>'202605'!H10</f>
        <v>1.8</v>
      </c>
      <c r="J10" s="54">
        <f>'202606'!H10</f>
        <v>1.2</v>
      </c>
      <c r="K10" s="54">
        <f>'202607'!H10</f>
        <v>2.7</v>
      </c>
      <c r="L10" s="54">
        <f>'202608'!H10</f>
        <v>1.5</v>
      </c>
      <c r="M10" s="116">
        <f>'202609'!H10</f>
        <v>76.8</v>
      </c>
      <c r="N10" s="23"/>
      <c r="O10" s="23"/>
      <c r="P10" s="38"/>
      <c r="Q10" s="55">
        <f t="shared" si="3"/>
        <v>76.8</v>
      </c>
      <c r="R10" s="55">
        <f t="shared" si="0"/>
        <v>1.2</v>
      </c>
      <c r="S10" s="55">
        <f t="shared" si="1"/>
        <v>11.455555555555556</v>
      </c>
      <c r="T10" s="56">
        <f t="shared" si="2"/>
        <v>24.624942188313415</v>
      </c>
      <c r="U10" s="86" t="str">
        <f t="shared" si="4"/>
        <v>매우좋음</v>
      </c>
    </row>
    <row r="11" spans="1:23" ht="20.100000000000001" customHeight="1" x14ac:dyDescent="0.3">
      <c r="A11" s="18">
        <v>14</v>
      </c>
      <c r="B11" s="1" t="s">
        <v>110</v>
      </c>
      <c r="C11" s="1" t="s">
        <v>65</v>
      </c>
      <c r="D11" s="33" t="s">
        <v>85</v>
      </c>
      <c r="E11" s="53">
        <f>'202601'!H11</f>
        <v>4.5</v>
      </c>
      <c r="F11" s="53">
        <f>'202602'!H11</f>
        <v>6</v>
      </c>
      <c r="G11" s="54">
        <f>'202603'!H11</f>
        <v>3.3</v>
      </c>
      <c r="H11" s="54">
        <f>'202604'!H11</f>
        <v>1.5</v>
      </c>
      <c r="I11" s="54">
        <f>'202605'!H11</f>
        <v>2.5</v>
      </c>
      <c r="J11" s="54">
        <f>'202606'!H11</f>
        <v>0.8</v>
      </c>
      <c r="K11" s="54">
        <f>'202607'!H11</f>
        <v>2.4</v>
      </c>
      <c r="L11" s="54">
        <f>'202608'!H11</f>
        <v>3</v>
      </c>
      <c r="M11" s="53">
        <f>'202609'!H11</f>
        <v>19.8</v>
      </c>
      <c r="N11" s="23"/>
      <c r="O11" s="23"/>
      <c r="P11" s="38"/>
      <c r="Q11" s="55">
        <f t="shared" si="3"/>
        <v>19.8</v>
      </c>
      <c r="R11" s="55">
        <f t="shared" si="0"/>
        <v>0.8</v>
      </c>
      <c r="S11" s="55">
        <f t="shared" si="1"/>
        <v>4.8666666666666663</v>
      </c>
      <c r="T11" s="56">
        <f t="shared" si="2"/>
        <v>5.8086142925830435</v>
      </c>
      <c r="U11" s="86" t="str">
        <f t="shared" si="4"/>
        <v>매우좋음</v>
      </c>
      <c r="W11" s="17">
        <v>1</v>
      </c>
    </row>
    <row r="12" spans="1:23" ht="20.100000000000001" customHeight="1" x14ac:dyDescent="0.3">
      <c r="A12" s="18">
        <v>17</v>
      </c>
      <c r="B12" s="108" t="s">
        <v>111</v>
      </c>
      <c r="C12" s="1" t="s">
        <v>40</v>
      </c>
      <c r="D12" s="33" t="s">
        <v>52</v>
      </c>
      <c r="E12" s="53">
        <f>'202601'!H12</f>
        <v>1.3</v>
      </c>
      <c r="F12" s="53">
        <f>'202602'!H12</f>
        <v>0.8</v>
      </c>
      <c r="G12" s="54">
        <f>'202603'!H12</f>
        <v>2</v>
      </c>
      <c r="H12" s="54">
        <f>'202604'!H12</f>
        <v>1</v>
      </c>
      <c r="I12" s="54">
        <f>'202605'!H12</f>
        <v>5.9</v>
      </c>
      <c r="J12" s="54">
        <f>'202606'!H12</f>
        <v>5.3</v>
      </c>
      <c r="K12" s="54">
        <f>'202607'!H12</f>
        <v>2.2999999999999998</v>
      </c>
      <c r="L12" s="54">
        <f>'202608'!H12</f>
        <v>3</v>
      </c>
      <c r="M12" s="116">
        <f>'202609'!H12</f>
        <v>34.4</v>
      </c>
      <c r="N12" s="23"/>
      <c r="O12" s="23"/>
      <c r="P12" s="38"/>
      <c r="Q12" s="55">
        <f t="shared" si="3"/>
        <v>34.4</v>
      </c>
      <c r="R12" s="55">
        <f t="shared" si="0"/>
        <v>0.8</v>
      </c>
      <c r="S12" s="55">
        <f t="shared" si="1"/>
        <v>6.2222222222222223</v>
      </c>
      <c r="T12" s="56">
        <f t="shared" si="2"/>
        <v>10.720515120293634</v>
      </c>
      <c r="U12" s="86" t="str">
        <f t="shared" si="4"/>
        <v>매우좋음</v>
      </c>
    </row>
    <row r="13" spans="1:23" ht="20.100000000000001" customHeight="1" x14ac:dyDescent="0.3">
      <c r="A13" s="18">
        <v>18</v>
      </c>
      <c r="B13" s="109"/>
      <c r="C13" s="1" t="s">
        <v>13</v>
      </c>
      <c r="D13" s="33" t="s">
        <v>53</v>
      </c>
      <c r="E13" s="53">
        <f>'202601'!H13</f>
        <v>1.3</v>
      </c>
      <c r="F13" s="53">
        <f>'202602'!H13</f>
        <v>1.2</v>
      </c>
      <c r="G13" s="54">
        <f>'202603'!H13</f>
        <v>1.8</v>
      </c>
      <c r="H13" s="54">
        <f>'202604'!H13</f>
        <v>1.2</v>
      </c>
      <c r="I13" s="54">
        <f>'202605'!H13</f>
        <v>5.3</v>
      </c>
      <c r="J13" s="54">
        <f>'202606'!H13</f>
        <v>10</v>
      </c>
      <c r="K13" s="54">
        <f>'202607'!H13</f>
        <v>2.2000000000000002</v>
      </c>
      <c r="L13" s="54">
        <f>'202608'!H13</f>
        <v>5.7</v>
      </c>
      <c r="M13" s="53">
        <f>'202609'!H13</f>
        <v>5.8</v>
      </c>
      <c r="N13" s="23"/>
      <c r="O13" s="23"/>
      <c r="P13" s="38"/>
      <c r="Q13" s="55">
        <f t="shared" si="3"/>
        <v>10</v>
      </c>
      <c r="R13" s="55">
        <f t="shared" si="0"/>
        <v>1.2</v>
      </c>
      <c r="S13" s="55">
        <f t="shared" si="1"/>
        <v>3.8333333333333335</v>
      </c>
      <c r="T13" s="56">
        <f t="shared" si="2"/>
        <v>3.0540956108150903</v>
      </c>
      <c r="U13" s="86" t="str">
        <f t="shared" si="4"/>
        <v>매우좋음</v>
      </c>
    </row>
    <row r="14" spans="1:23" ht="20.100000000000001" customHeight="1" x14ac:dyDescent="0.3">
      <c r="A14" s="18">
        <v>20</v>
      </c>
      <c r="B14" s="109"/>
      <c r="C14" s="1" t="s">
        <v>14</v>
      </c>
      <c r="D14" s="33" t="s">
        <v>54</v>
      </c>
      <c r="E14" s="53">
        <f>'202601'!H14</f>
        <v>1.6</v>
      </c>
      <c r="F14" s="53">
        <f>'202602'!H14</f>
        <v>0.9</v>
      </c>
      <c r="G14" s="54">
        <f>'202603'!H14</f>
        <v>2.7</v>
      </c>
      <c r="H14" s="54">
        <f>'202604'!H14</f>
        <v>0.9</v>
      </c>
      <c r="I14" s="54">
        <f>'202605'!H14</f>
        <v>6.4</v>
      </c>
      <c r="J14" s="54">
        <f>'202606'!H14</f>
        <v>5.0999999999999996</v>
      </c>
      <c r="K14" s="54">
        <f>'202607'!H14</f>
        <v>1</v>
      </c>
      <c r="L14" s="54">
        <f>'202608'!H14</f>
        <v>6.1</v>
      </c>
      <c r="M14" s="53">
        <f>'202609'!H14</f>
        <v>6.4</v>
      </c>
      <c r="N14" s="23"/>
      <c r="O14" s="23"/>
      <c r="P14" s="38"/>
      <c r="Q14" s="55">
        <f t="shared" si="3"/>
        <v>6.4</v>
      </c>
      <c r="R14" s="55">
        <f t="shared" si="0"/>
        <v>0.9</v>
      </c>
      <c r="S14" s="55">
        <f t="shared" si="1"/>
        <v>3.4555555555555557</v>
      </c>
      <c r="T14" s="56">
        <f t="shared" si="2"/>
        <v>2.5035530307500538</v>
      </c>
      <c r="U14" s="86" t="str">
        <f t="shared" si="4"/>
        <v>매우좋음</v>
      </c>
    </row>
    <row r="15" spans="1:23" ht="20.100000000000001" customHeight="1" x14ac:dyDescent="0.3">
      <c r="A15" s="18">
        <v>21</v>
      </c>
      <c r="B15" s="109"/>
      <c r="C15" s="1" t="s">
        <v>15</v>
      </c>
      <c r="D15" s="33" t="s">
        <v>55</v>
      </c>
      <c r="E15" s="53">
        <f>'202601'!H15</f>
        <v>1.5</v>
      </c>
      <c r="F15" s="53">
        <f>'202602'!H15</f>
        <v>0.9</v>
      </c>
      <c r="G15" s="54">
        <f>'202603'!H15</f>
        <v>1.8</v>
      </c>
      <c r="H15" s="54">
        <f>'202604'!H15</f>
        <v>1.1000000000000001</v>
      </c>
      <c r="I15" s="54">
        <f>'202605'!H15</f>
        <v>7.5</v>
      </c>
      <c r="J15" s="54">
        <f>'202606'!H15</f>
        <v>6.6</v>
      </c>
      <c r="K15" s="54">
        <f>'202607'!H15</f>
        <v>1.1000000000000001</v>
      </c>
      <c r="L15" s="54">
        <f>'202608'!H15</f>
        <v>1.5</v>
      </c>
      <c r="M15" s="53">
        <f>'202609'!H15</f>
        <v>8.8000000000000007</v>
      </c>
      <c r="N15" s="23"/>
      <c r="O15" s="23"/>
      <c r="P15" s="38"/>
      <c r="Q15" s="55">
        <f t="shared" si="3"/>
        <v>8.8000000000000007</v>
      </c>
      <c r="R15" s="55">
        <f t="shared" si="0"/>
        <v>0.9</v>
      </c>
      <c r="S15" s="55">
        <f t="shared" si="1"/>
        <v>3.4222222222222225</v>
      </c>
      <c r="T15" s="56">
        <f t="shared" si="2"/>
        <v>3.2174437748691807</v>
      </c>
      <c r="U15" s="86" t="str">
        <f t="shared" si="4"/>
        <v>매우좋음</v>
      </c>
    </row>
    <row r="16" spans="1:23" ht="20.100000000000001" customHeight="1" x14ac:dyDescent="0.3">
      <c r="A16" s="18">
        <v>22</v>
      </c>
      <c r="B16" s="110"/>
      <c r="C16" s="1" t="s">
        <v>16</v>
      </c>
      <c r="D16" s="33" t="s">
        <v>86</v>
      </c>
      <c r="E16" s="53">
        <f>'202601'!H16</f>
        <v>1.3</v>
      </c>
      <c r="F16" s="53">
        <f>'202602'!H16</f>
        <v>0.9</v>
      </c>
      <c r="G16" s="54">
        <f>'202603'!H16</f>
        <v>1.7</v>
      </c>
      <c r="H16" s="54">
        <f>'202604'!H16</f>
        <v>0.8</v>
      </c>
      <c r="I16" s="54">
        <f>'202605'!H16</f>
        <v>14.3</v>
      </c>
      <c r="J16" s="54">
        <f>'202606'!H16</f>
        <v>5.7</v>
      </c>
      <c r="K16" s="54">
        <f>'202607'!H16</f>
        <v>0.7</v>
      </c>
      <c r="L16" s="54">
        <f>'202608'!H16</f>
        <v>1.4</v>
      </c>
      <c r="M16" s="53">
        <f>'202609'!H16</f>
        <v>11</v>
      </c>
      <c r="N16" s="23"/>
      <c r="O16" s="23"/>
      <c r="P16" s="38"/>
      <c r="Q16" s="55">
        <f t="shared" si="3"/>
        <v>14.3</v>
      </c>
      <c r="R16" s="55">
        <f t="shared" si="0"/>
        <v>0.7</v>
      </c>
      <c r="S16" s="58">
        <f>AVERAGE(E16:P16)</f>
        <v>4.1999999999999993</v>
      </c>
      <c r="T16" s="56">
        <f t="shared" si="2"/>
        <v>5.0953410091965399</v>
      </c>
      <c r="U16" s="86" t="str">
        <f t="shared" si="4"/>
        <v>매우좋음</v>
      </c>
    </row>
    <row r="17" spans="1:21" ht="20.100000000000001" customHeight="1" x14ac:dyDescent="0.3">
      <c r="A17" s="18">
        <v>23</v>
      </c>
      <c r="B17" s="108" t="s">
        <v>112</v>
      </c>
      <c r="C17" s="1" t="s">
        <v>41</v>
      </c>
      <c r="D17" s="33" t="s">
        <v>56</v>
      </c>
      <c r="E17" s="53">
        <f>'202601'!H17</f>
        <v>1.6</v>
      </c>
      <c r="F17" s="53">
        <f>'202602'!H17</f>
        <v>1.6</v>
      </c>
      <c r="G17" s="54">
        <f>'202603'!H17</f>
        <v>5.2</v>
      </c>
      <c r="H17" s="54">
        <f>'202604'!H17</f>
        <v>1.5</v>
      </c>
      <c r="I17" s="54">
        <f>'202605'!H17</f>
        <v>7.9</v>
      </c>
      <c r="J17" s="54">
        <f>'202606'!H17</f>
        <v>6.1</v>
      </c>
      <c r="K17" s="54">
        <f>'202607'!H17</f>
        <v>8.5</v>
      </c>
      <c r="L17" s="54">
        <f>'202608'!H17</f>
        <v>8.6</v>
      </c>
      <c r="M17" s="53">
        <f>'202609'!H17</f>
        <v>7</v>
      </c>
      <c r="N17" s="23"/>
      <c r="O17" s="23"/>
      <c r="P17" s="38"/>
      <c r="Q17" s="55">
        <f t="shared" si="3"/>
        <v>8.6</v>
      </c>
      <c r="R17" s="55">
        <f t="shared" si="0"/>
        <v>1.5</v>
      </c>
      <c r="S17" s="55">
        <f t="shared" si="1"/>
        <v>5.333333333333333</v>
      </c>
      <c r="T17" s="56">
        <f t="shared" si="2"/>
        <v>3.0257230540814541</v>
      </c>
      <c r="U17" s="86" t="str">
        <f t="shared" si="4"/>
        <v>매우좋음</v>
      </c>
    </row>
    <row r="18" spans="1:21" ht="20.100000000000001" customHeight="1" x14ac:dyDescent="0.3">
      <c r="A18" s="18">
        <v>24</v>
      </c>
      <c r="B18" s="110"/>
      <c r="C18" s="1" t="s">
        <v>17</v>
      </c>
      <c r="D18" s="33" t="s">
        <v>57</v>
      </c>
      <c r="E18" s="53">
        <f>'202601'!H18</f>
        <v>1.6</v>
      </c>
      <c r="F18" s="53">
        <f>'202602'!H18</f>
        <v>2</v>
      </c>
      <c r="G18" s="54">
        <f>'202603'!H18</f>
        <v>5.4</v>
      </c>
      <c r="H18" s="54">
        <f>'202604'!H18</f>
        <v>1.9</v>
      </c>
      <c r="I18" s="54">
        <f>'202605'!H18</f>
        <v>6.7</v>
      </c>
      <c r="J18" s="54">
        <f>'202606'!H18</f>
        <v>22.8</v>
      </c>
      <c r="K18" s="54">
        <f>'202607'!H18</f>
        <v>7.9</v>
      </c>
      <c r="L18" s="54">
        <f>'202608'!H18</f>
        <v>18</v>
      </c>
      <c r="M18" s="53">
        <f>'202609'!H18</f>
        <v>8.4</v>
      </c>
      <c r="N18" s="23"/>
      <c r="O18" s="23"/>
      <c r="P18" s="38"/>
      <c r="Q18" s="55">
        <f t="shared" si="3"/>
        <v>22.8</v>
      </c>
      <c r="R18" s="55">
        <f t="shared" si="0"/>
        <v>1.6</v>
      </c>
      <c r="S18" s="55">
        <f t="shared" si="1"/>
        <v>8.3000000000000025</v>
      </c>
      <c r="T18" s="56">
        <f t="shared" si="2"/>
        <v>7.4247895593073849</v>
      </c>
      <c r="U18" s="86" t="str">
        <f t="shared" si="4"/>
        <v>매우좋음</v>
      </c>
    </row>
    <row r="19" spans="1:21" ht="20.100000000000001" customHeight="1" x14ac:dyDescent="0.3">
      <c r="A19" s="18">
        <v>25</v>
      </c>
      <c r="B19" s="1" t="s">
        <v>113</v>
      </c>
      <c r="C19" s="1" t="s">
        <v>36</v>
      </c>
      <c r="D19" s="33" t="s">
        <v>58</v>
      </c>
      <c r="E19" s="53">
        <f>'202601'!H19</f>
        <v>3.3</v>
      </c>
      <c r="F19" s="53">
        <f>'202602'!H19</f>
        <v>1</v>
      </c>
      <c r="G19" s="54">
        <f>'202603'!H19</f>
        <v>3.3</v>
      </c>
      <c r="H19" s="54">
        <f>'202604'!H19</f>
        <v>1.6</v>
      </c>
      <c r="I19" s="54">
        <f>'202605'!H19</f>
        <v>7.9</v>
      </c>
      <c r="J19" s="54">
        <f>'202606'!H19</f>
        <v>17.899999999999999</v>
      </c>
      <c r="K19" s="54">
        <f>'202607'!H19</f>
        <v>2.2999999999999998</v>
      </c>
      <c r="L19" s="54">
        <f>'202608'!H19</f>
        <v>6.4</v>
      </c>
      <c r="M19" s="53">
        <f>'202609'!H19</f>
        <v>7.2</v>
      </c>
      <c r="N19" s="23"/>
      <c r="O19" s="23"/>
      <c r="P19" s="38"/>
      <c r="Q19" s="55">
        <f t="shared" si="3"/>
        <v>17.899999999999999</v>
      </c>
      <c r="R19" s="55">
        <f t="shared" si="0"/>
        <v>1</v>
      </c>
      <c r="S19" s="55">
        <f t="shared" si="1"/>
        <v>5.655555555555555</v>
      </c>
      <c r="T19" s="56">
        <f t="shared" si="2"/>
        <v>5.2247275314391066</v>
      </c>
      <c r="U19" s="86" t="str">
        <f t="shared" si="4"/>
        <v>매우좋음</v>
      </c>
    </row>
    <row r="20" spans="1:21" ht="20.100000000000001" customHeight="1" x14ac:dyDescent="0.3">
      <c r="A20" s="18">
        <v>26</v>
      </c>
      <c r="B20" s="108" t="s">
        <v>114</v>
      </c>
      <c r="C20" s="1" t="s">
        <v>42</v>
      </c>
      <c r="D20" s="33" t="s">
        <v>93</v>
      </c>
      <c r="E20" s="53">
        <f>'202601'!H20</f>
        <v>43.6</v>
      </c>
      <c r="F20" s="53">
        <f>'202602'!H20</f>
        <v>2.5</v>
      </c>
      <c r="G20" s="54">
        <f>'202603'!H20</f>
        <v>5.6</v>
      </c>
      <c r="H20" s="54">
        <f>'202604'!H20</f>
        <v>14.4</v>
      </c>
      <c r="I20" s="54">
        <f>'202605'!H20</f>
        <v>20.2</v>
      </c>
      <c r="J20" s="54">
        <f>'202606'!H20</f>
        <v>4.5999999999999996</v>
      </c>
      <c r="K20" s="54">
        <f>'202607'!H20</f>
        <v>2.2999999999999998</v>
      </c>
      <c r="L20" s="54">
        <f>'202608'!H20</f>
        <v>1.1000000000000001</v>
      </c>
      <c r="M20" s="53">
        <f>'202609'!H20</f>
        <v>2.7</v>
      </c>
      <c r="N20" s="23"/>
      <c r="O20" s="23"/>
      <c r="P20" s="38"/>
      <c r="Q20" s="55">
        <f t="shared" si="3"/>
        <v>43.6</v>
      </c>
      <c r="R20" s="55">
        <f t="shared" si="0"/>
        <v>1.1000000000000001</v>
      </c>
      <c r="S20" s="55">
        <f t="shared" si="1"/>
        <v>10.777777777777779</v>
      </c>
      <c r="T20" s="56">
        <f t="shared" si="2"/>
        <v>13.890084392992161</v>
      </c>
      <c r="U20" s="86" t="str">
        <f t="shared" si="4"/>
        <v>매우좋음</v>
      </c>
    </row>
    <row r="21" spans="1:21" ht="20.100000000000001" customHeight="1" x14ac:dyDescent="0.3">
      <c r="A21" s="18">
        <v>27</v>
      </c>
      <c r="B21" s="109"/>
      <c r="C21" s="1" t="s">
        <v>18</v>
      </c>
      <c r="D21" s="33" t="s">
        <v>95</v>
      </c>
      <c r="E21" s="53">
        <f>'202601'!H21</f>
        <v>3.6</v>
      </c>
      <c r="F21" s="53">
        <f>'202602'!H21</f>
        <v>4</v>
      </c>
      <c r="G21" s="54">
        <f>'202603'!H21</f>
        <v>4.0999999999999996</v>
      </c>
      <c r="H21" s="54">
        <f>'202604'!H21</f>
        <v>6.9</v>
      </c>
      <c r="I21" s="54">
        <f>'202605'!H21</f>
        <v>12.2</v>
      </c>
      <c r="J21" s="54">
        <f>'202606'!H21</f>
        <v>10.6</v>
      </c>
      <c r="K21" s="54">
        <f>'202607'!H21</f>
        <v>5.7</v>
      </c>
      <c r="L21" s="54">
        <f>'202608'!H21</f>
        <v>2.8</v>
      </c>
      <c r="M21" s="116">
        <f>'202609'!H21</f>
        <v>26.4</v>
      </c>
      <c r="N21" s="23"/>
      <c r="O21" s="23"/>
      <c r="P21" s="38"/>
      <c r="Q21" s="55">
        <f t="shared" si="3"/>
        <v>26.4</v>
      </c>
      <c r="R21" s="55">
        <f t="shared" si="0"/>
        <v>2.8</v>
      </c>
      <c r="S21" s="55">
        <f t="shared" si="1"/>
        <v>8.4777777777777779</v>
      </c>
      <c r="T21" s="56">
        <f t="shared" si="2"/>
        <v>7.4583472998007023</v>
      </c>
      <c r="U21" s="86" t="str">
        <f t="shared" si="4"/>
        <v>매우좋음</v>
      </c>
    </row>
    <row r="22" spans="1:21" ht="20.100000000000001" customHeight="1" x14ac:dyDescent="0.3">
      <c r="A22" s="18">
        <v>28</v>
      </c>
      <c r="B22" s="109"/>
      <c r="C22" s="1" t="s">
        <v>19</v>
      </c>
      <c r="D22" s="33" t="s">
        <v>94</v>
      </c>
      <c r="E22" s="53">
        <f>'202601'!H22</f>
        <v>21</v>
      </c>
      <c r="F22" s="53">
        <f>'202602'!H22</f>
        <v>2.7</v>
      </c>
      <c r="G22" s="54">
        <f>'202603'!H22</f>
        <v>4.5999999999999996</v>
      </c>
      <c r="H22" s="54">
        <f>'202604'!H22</f>
        <v>20</v>
      </c>
      <c r="I22" s="54">
        <f>'202605'!H22</f>
        <v>18.8</v>
      </c>
      <c r="J22" s="54">
        <f>'202606'!H22</f>
        <v>13.2</v>
      </c>
      <c r="K22" s="54">
        <f>'202607'!H22</f>
        <v>7.1</v>
      </c>
      <c r="L22" s="54">
        <f>'202608'!H22</f>
        <v>4.8</v>
      </c>
      <c r="M22" s="53">
        <f>'202609'!H22</f>
        <v>1.4</v>
      </c>
      <c r="N22" s="23"/>
      <c r="O22" s="23"/>
      <c r="P22" s="38"/>
      <c r="Q22" s="55">
        <f>MAX(E22:P22)</f>
        <v>21</v>
      </c>
      <c r="R22" s="55">
        <f t="shared" si="0"/>
        <v>1.4</v>
      </c>
      <c r="S22" s="55">
        <f t="shared" si="1"/>
        <v>10.399999999999999</v>
      </c>
      <c r="T22" s="56">
        <f t="shared" si="2"/>
        <v>7.8985758209945693</v>
      </c>
      <c r="U22" s="86" t="str">
        <f t="shared" si="4"/>
        <v>매우좋음</v>
      </c>
    </row>
    <row r="23" spans="1:21" ht="20.100000000000001" customHeight="1" x14ac:dyDescent="0.3">
      <c r="A23" s="18">
        <v>29</v>
      </c>
      <c r="B23" s="109"/>
      <c r="C23" s="1" t="s">
        <v>63</v>
      </c>
      <c r="D23" s="33" t="s">
        <v>59</v>
      </c>
      <c r="E23" s="53">
        <f>'202601'!H23</f>
        <v>12.9</v>
      </c>
      <c r="F23" s="53">
        <f>'202602'!H23</f>
        <v>2.6</v>
      </c>
      <c r="G23" s="54">
        <f>'202603'!H23</f>
        <v>5.6</v>
      </c>
      <c r="H23" s="54">
        <f>'202604'!H23</f>
        <v>10.4</v>
      </c>
      <c r="I23" s="97">
        <f>'202605'!H23</f>
        <v>38</v>
      </c>
      <c r="J23" s="54">
        <f>'202606'!H23</f>
        <v>12</v>
      </c>
      <c r="K23" s="54">
        <f>'202607'!H23</f>
        <v>6.5</v>
      </c>
      <c r="L23" s="54">
        <f>'202608'!H23</f>
        <v>6.2</v>
      </c>
      <c r="M23" s="53">
        <f>'202609'!H23</f>
        <v>3.5</v>
      </c>
      <c r="N23" s="23"/>
      <c r="O23" s="23"/>
      <c r="P23" s="38"/>
      <c r="Q23" s="55">
        <f t="shared" si="3"/>
        <v>38</v>
      </c>
      <c r="R23" s="55">
        <f t="shared" si="0"/>
        <v>2.6</v>
      </c>
      <c r="S23" s="55">
        <f t="shared" si="1"/>
        <v>10.855555555555556</v>
      </c>
      <c r="T23" s="56">
        <f t="shared" si="2"/>
        <v>10.799549887739664</v>
      </c>
      <c r="U23" s="86" t="str">
        <f t="shared" si="4"/>
        <v>매우좋음</v>
      </c>
    </row>
    <row r="24" spans="1:21" ht="20.100000000000001" customHeight="1" x14ac:dyDescent="0.3">
      <c r="A24" s="18">
        <v>30</v>
      </c>
      <c r="B24" s="109"/>
      <c r="C24" s="1" t="s">
        <v>87</v>
      </c>
      <c r="D24" s="33" t="s">
        <v>88</v>
      </c>
      <c r="E24" s="53">
        <f>'202601'!H24</f>
        <v>6.7</v>
      </c>
      <c r="F24" s="53">
        <f>'202602'!H24</f>
        <v>9.1999999999999993</v>
      </c>
      <c r="G24" s="54">
        <f>'202603'!H24</f>
        <v>5.3</v>
      </c>
      <c r="H24" s="54">
        <f>'202604'!H24</f>
        <v>22.4</v>
      </c>
      <c r="I24" s="54">
        <f>'202605'!H24</f>
        <v>14.6</v>
      </c>
      <c r="J24" s="54">
        <f>'202606'!H24</f>
        <v>15.8</v>
      </c>
      <c r="K24" s="54">
        <f>'202607'!H24</f>
        <v>17.2</v>
      </c>
      <c r="L24" s="54">
        <f>'202608'!H24</f>
        <v>7.8</v>
      </c>
      <c r="M24" s="53">
        <f>'202609'!H24</f>
        <v>4.4000000000000004</v>
      </c>
      <c r="N24" s="23"/>
      <c r="O24" s="23"/>
      <c r="P24" s="38"/>
      <c r="Q24" s="55">
        <f t="shared" si="3"/>
        <v>22.4</v>
      </c>
      <c r="R24" s="55">
        <f t="shared" si="0"/>
        <v>4.4000000000000004</v>
      </c>
      <c r="S24" s="55">
        <f t="shared" si="1"/>
        <v>11.488888888888889</v>
      </c>
      <c r="T24" s="56">
        <f t="shared" si="2"/>
        <v>6.2276489232382906</v>
      </c>
      <c r="U24" s="86" t="str">
        <f t="shared" si="4"/>
        <v>매우좋음</v>
      </c>
    </row>
    <row r="25" spans="1:21" ht="20.100000000000001" customHeight="1" x14ac:dyDescent="0.3">
      <c r="A25" s="18">
        <v>31</v>
      </c>
      <c r="B25" s="109"/>
      <c r="C25" s="1" t="s">
        <v>20</v>
      </c>
      <c r="D25" s="33" t="s">
        <v>60</v>
      </c>
      <c r="E25" s="53">
        <f>'202601'!H25</f>
        <v>3.5</v>
      </c>
      <c r="F25" s="53">
        <f>'202602'!H25</f>
        <v>8.1999999999999993</v>
      </c>
      <c r="G25" s="54">
        <f>'202603'!H25</f>
        <v>4.8</v>
      </c>
      <c r="H25" s="54">
        <f>'202604'!H25</f>
        <v>20.399999999999999</v>
      </c>
      <c r="I25" s="54">
        <f>'202605'!H25</f>
        <v>11.2</v>
      </c>
      <c r="J25" s="54">
        <f>'202606'!H25</f>
        <v>18.2</v>
      </c>
      <c r="K25" s="54">
        <f>'202607'!H25</f>
        <v>8</v>
      </c>
      <c r="L25" s="54">
        <f>'202608'!H25</f>
        <v>8.8000000000000007</v>
      </c>
      <c r="M25" s="53">
        <f>'202609'!H25</f>
        <v>18</v>
      </c>
      <c r="N25" s="23"/>
      <c r="O25" s="23"/>
      <c r="P25" s="38"/>
      <c r="Q25" s="55">
        <f t="shared" si="3"/>
        <v>20.399999999999999</v>
      </c>
      <c r="R25" s="55">
        <f t="shared" si="0"/>
        <v>3.5</v>
      </c>
      <c r="S25" s="55">
        <f t="shared" si="1"/>
        <v>11.233333333333333</v>
      </c>
      <c r="T25" s="56">
        <f t="shared" si="2"/>
        <v>6.1757590626578054</v>
      </c>
      <c r="U25" s="86" t="str">
        <f t="shared" si="4"/>
        <v>매우좋음</v>
      </c>
    </row>
    <row r="26" spans="1:21" ht="16.5" customHeight="1" x14ac:dyDescent="0.3">
      <c r="A26" s="18">
        <v>32</v>
      </c>
      <c r="B26" s="109"/>
      <c r="C26" s="1" t="s">
        <v>21</v>
      </c>
      <c r="D26" s="33" t="s">
        <v>91</v>
      </c>
      <c r="E26" s="53">
        <f>'202601'!H26</f>
        <v>2.8</v>
      </c>
      <c r="F26" s="53">
        <f>'202602'!H26</f>
        <v>2.4</v>
      </c>
      <c r="G26" s="54">
        <f>'202603'!H26</f>
        <v>6</v>
      </c>
      <c r="H26" s="54">
        <f>'202604'!H26</f>
        <v>7.2</v>
      </c>
      <c r="I26" s="54">
        <f>'202605'!H26</f>
        <v>28.8</v>
      </c>
      <c r="J26" s="54">
        <f>'202606'!H26</f>
        <v>15.8</v>
      </c>
      <c r="K26" s="54">
        <f>'202607'!H26</f>
        <v>9.6999999999999993</v>
      </c>
      <c r="L26" s="54">
        <f>'202608'!H26</f>
        <v>13.6</v>
      </c>
      <c r="M26" s="53">
        <f>'202609'!H26</f>
        <v>6.5</v>
      </c>
      <c r="N26" s="23"/>
      <c r="O26" s="23"/>
      <c r="P26" s="38"/>
      <c r="Q26" s="55">
        <f t="shared" si="3"/>
        <v>28.8</v>
      </c>
      <c r="R26" s="55">
        <f t="shared" si="0"/>
        <v>2.4</v>
      </c>
      <c r="S26" s="55">
        <f t="shared" si="1"/>
        <v>10.31111111111111</v>
      </c>
      <c r="T26" s="56">
        <f t="shared" si="2"/>
        <v>8.2533999728058216</v>
      </c>
      <c r="U26" s="86" t="str">
        <f t="shared" si="4"/>
        <v>매우좋음</v>
      </c>
    </row>
    <row r="27" spans="1:21" ht="20.100000000000001" customHeight="1" x14ac:dyDescent="0.3">
      <c r="A27" s="18">
        <v>33</v>
      </c>
      <c r="B27" s="109"/>
      <c r="C27" s="1" t="s">
        <v>22</v>
      </c>
      <c r="D27" s="33" t="s">
        <v>61</v>
      </c>
      <c r="E27" s="53">
        <f>'202601'!H27</f>
        <v>4</v>
      </c>
      <c r="F27" s="53">
        <f>'202602'!H27</f>
        <v>4</v>
      </c>
      <c r="G27" s="54">
        <f>'202603'!H27</f>
        <v>6.6</v>
      </c>
      <c r="H27" s="54">
        <f>'202604'!H27</f>
        <v>8.8000000000000007</v>
      </c>
      <c r="I27" s="54">
        <f>'202605'!H27</f>
        <v>22.8</v>
      </c>
      <c r="J27" s="54">
        <f>'202606'!H27</f>
        <v>14.4</v>
      </c>
      <c r="K27" s="54">
        <f>'202607'!H27</f>
        <v>7.2</v>
      </c>
      <c r="L27" s="54">
        <f>'202608'!H27</f>
        <v>13.8</v>
      </c>
      <c r="M27" s="53">
        <f>'202609'!H27</f>
        <v>13.8</v>
      </c>
      <c r="N27" s="23"/>
      <c r="O27" s="23"/>
      <c r="P27" s="38"/>
      <c r="Q27" s="55">
        <f t="shared" si="3"/>
        <v>22.8</v>
      </c>
      <c r="R27" s="57">
        <f t="shared" si="0"/>
        <v>4</v>
      </c>
      <c r="S27" s="58">
        <f>AVERAGE(E27:P27)</f>
        <v>10.6</v>
      </c>
      <c r="T27" s="56">
        <f t="shared" si="2"/>
        <v>6.1408468471376194</v>
      </c>
      <c r="U27" s="86" t="str">
        <f t="shared" si="4"/>
        <v>매우좋음</v>
      </c>
    </row>
    <row r="28" spans="1:21" ht="20.100000000000001" customHeight="1" x14ac:dyDescent="0.3">
      <c r="A28" s="18">
        <v>34</v>
      </c>
      <c r="B28" s="109"/>
      <c r="C28" s="1" t="s">
        <v>23</v>
      </c>
      <c r="D28" s="33" t="s">
        <v>24</v>
      </c>
      <c r="E28" s="53">
        <f>'202601'!H28</f>
        <v>6</v>
      </c>
      <c r="F28" s="53">
        <f>'202602'!H28</f>
        <v>7</v>
      </c>
      <c r="G28" s="54">
        <f>'202603'!H28</f>
        <v>8.6</v>
      </c>
      <c r="H28" s="54">
        <f>'202604'!H28</f>
        <v>10</v>
      </c>
      <c r="I28" s="54">
        <f>'202605'!H28</f>
        <v>5.8</v>
      </c>
      <c r="J28" s="54">
        <f>'202606'!H28</f>
        <v>35.799999999999997</v>
      </c>
      <c r="K28" s="54">
        <f>'202607'!H28</f>
        <v>12</v>
      </c>
      <c r="L28" s="54">
        <f>'202608'!H28</f>
        <v>18.2</v>
      </c>
      <c r="M28" s="53">
        <f>'202609'!H28</f>
        <v>18.2</v>
      </c>
      <c r="N28" s="23"/>
      <c r="O28" s="23"/>
      <c r="P28" s="38"/>
      <c r="Q28" s="55">
        <f t="shared" si="3"/>
        <v>35.799999999999997</v>
      </c>
      <c r="R28" s="55">
        <f t="shared" si="0"/>
        <v>5.8</v>
      </c>
      <c r="S28" s="58">
        <f>AVERAGE(E28:P28)</f>
        <v>13.511111111111111</v>
      </c>
      <c r="T28" s="56">
        <f t="shared" si="2"/>
        <v>9.6031823429064929</v>
      </c>
      <c r="U28" s="86" t="str">
        <f t="shared" si="4"/>
        <v>매우좋음</v>
      </c>
    </row>
    <row r="29" spans="1:21" ht="20.100000000000001" customHeight="1" x14ac:dyDescent="0.3">
      <c r="A29" s="18">
        <v>35</v>
      </c>
      <c r="B29" s="109"/>
      <c r="C29" s="1" t="s">
        <v>64</v>
      </c>
      <c r="D29" s="33" t="s">
        <v>89</v>
      </c>
      <c r="E29" s="53">
        <f>'202601'!H29</f>
        <v>8.6</v>
      </c>
      <c r="F29" s="53">
        <f>'202602'!H29</f>
        <v>4</v>
      </c>
      <c r="G29" s="54">
        <f>'202603'!H29</f>
        <v>11.8</v>
      </c>
      <c r="H29" s="54">
        <f>'202604'!H29</f>
        <v>11.6</v>
      </c>
      <c r="I29" s="54">
        <f>'202605'!H29</f>
        <v>18</v>
      </c>
      <c r="J29" s="54">
        <f>'202606'!H29</f>
        <v>15.2</v>
      </c>
      <c r="K29" s="54">
        <f>'202607'!H29</f>
        <v>16.5</v>
      </c>
      <c r="L29" s="54">
        <f>'202608'!H29</f>
        <v>16.399999999999999</v>
      </c>
      <c r="M29" s="53">
        <f>'202609'!H29</f>
        <v>16.399999999999999</v>
      </c>
      <c r="N29" s="23"/>
      <c r="O29" s="23"/>
      <c r="P29" s="38"/>
      <c r="Q29" s="55">
        <f t="shared" si="3"/>
        <v>18</v>
      </c>
      <c r="R29" s="55">
        <f t="shared" si="0"/>
        <v>4</v>
      </c>
      <c r="S29" s="55">
        <f>AVERAGE(E29:P29)</f>
        <v>13.166666666666666</v>
      </c>
      <c r="T29" s="56">
        <f t="shared" si="2"/>
        <v>4.5923850012820138</v>
      </c>
      <c r="U29" s="86" t="str">
        <f t="shared" si="4"/>
        <v>매우좋음</v>
      </c>
    </row>
    <row r="30" spans="1:21" ht="20.100000000000001" customHeight="1" x14ac:dyDescent="0.3">
      <c r="A30" s="18">
        <v>36</v>
      </c>
      <c r="B30" s="109"/>
      <c r="C30" s="1" t="s">
        <v>27</v>
      </c>
      <c r="D30" s="33" t="s">
        <v>62</v>
      </c>
      <c r="E30" s="53">
        <f>'202601'!H30</f>
        <v>7.6</v>
      </c>
      <c r="F30" s="53">
        <f>'202602'!H30</f>
        <v>8.6</v>
      </c>
      <c r="G30" s="54">
        <f>'202603'!H30</f>
        <v>9.1999999999999993</v>
      </c>
      <c r="H30" s="54">
        <f>'202604'!H30</f>
        <v>12</v>
      </c>
      <c r="I30" s="54">
        <f>'202605'!H30</f>
        <v>16.8</v>
      </c>
      <c r="J30" s="54">
        <f>'202606'!H30</f>
        <v>14.2</v>
      </c>
      <c r="K30" s="54">
        <f>'202607'!H30</f>
        <v>4.0999999999999996</v>
      </c>
      <c r="L30" s="54">
        <f>'202608'!H30</f>
        <v>19.600000000000001</v>
      </c>
      <c r="M30" s="53">
        <f>'202609'!H30</f>
        <v>19.600000000000001</v>
      </c>
      <c r="N30" s="23"/>
      <c r="O30" s="23"/>
      <c r="P30" s="38"/>
      <c r="Q30" s="55">
        <f t="shared" si="3"/>
        <v>19.600000000000001</v>
      </c>
      <c r="R30" s="55">
        <f t="shared" si="0"/>
        <v>4.0999999999999996</v>
      </c>
      <c r="S30" s="55">
        <f t="shared" si="1"/>
        <v>12.41111111111111</v>
      </c>
      <c r="T30" s="56">
        <f t="shared" si="2"/>
        <v>5.5119063046382744</v>
      </c>
      <c r="U30" s="86" t="str">
        <f t="shared" si="4"/>
        <v>매우좋음</v>
      </c>
    </row>
    <row r="31" spans="1:21" s="20" customFormat="1" ht="20.100000000000001" customHeight="1" x14ac:dyDescent="0.3">
      <c r="A31" s="18">
        <v>37</v>
      </c>
      <c r="B31" s="109"/>
      <c r="C31" s="1" t="s">
        <v>25</v>
      </c>
      <c r="D31" s="33" t="s">
        <v>26</v>
      </c>
      <c r="E31" s="53">
        <f>'202601'!H31</f>
        <v>9</v>
      </c>
      <c r="F31" s="53">
        <f>'202602'!H31</f>
        <v>8.8000000000000007</v>
      </c>
      <c r="G31" s="54">
        <f>'202603'!H31</f>
        <v>11</v>
      </c>
      <c r="H31" s="54">
        <f>'202604'!H31</f>
        <v>11.2</v>
      </c>
      <c r="I31" s="54">
        <f>'202605'!H31</f>
        <v>15.8</v>
      </c>
      <c r="J31" s="54">
        <f>'202606'!H31</f>
        <v>15.4</v>
      </c>
      <c r="K31" s="54">
        <f>'202607'!H31</f>
        <v>5.4</v>
      </c>
      <c r="L31" s="54">
        <f>'202608'!H31</f>
        <v>19.8</v>
      </c>
      <c r="M31" s="53">
        <f>'202609'!H31</f>
        <v>19.8</v>
      </c>
      <c r="N31" s="23"/>
      <c r="O31" s="23"/>
      <c r="P31" s="38"/>
      <c r="Q31" s="55">
        <f t="shared" si="3"/>
        <v>19.8</v>
      </c>
      <c r="R31" s="55">
        <f t="shared" si="0"/>
        <v>5.4</v>
      </c>
      <c r="S31" s="55">
        <f t="shared" si="1"/>
        <v>12.911111111111111</v>
      </c>
      <c r="T31" s="56">
        <f t="shared" si="2"/>
        <v>5.0577772895918534</v>
      </c>
      <c r="U31" s="86" t="str">
        <f t="shared" si="4"/>
        <v>매우좋음</v>
      </c>
    </row>
    <row r="32" spans="1:21" s="20" customFormat="1" ht="20.100000000000001" customHeight="1" x14ac:dyDescent="0.3">
      <c r="A32" s="18">
        <v>38</v>
      </c>
      <c r="B32" s="110"/>
      <c r="C32" s="1" t="s">
        <v>28</v>
      </c>
      <c r="D32" s="33" t="s">
        <v>90</v>
      </c>
      <c r="E32" s="53">
        <f>'202601'!H32</f>
        <v>5.8</v>
      </c>
      <c r="F32" s="53">
        <f>'202602'!H32</f>
        <v>5.6</v>
      </c>
      <c r="G32" s="54">
        <f>'202603'!H32</f>
        <v>8</v>
      </c>
      <c r="H32" s="54">
        <f>'202604'!H32</f>
        <v>8.4</v>
      </c>
      <c r="I32" s="54">
        <f>'202605'!H32</f>
        <v>13</v>
      </c>
      <c r="J32" s="54">
        <f>'202606'!H32</f>
        <v>14.6</v>
      </c>
      <c r="K32" s="54">
        <f>'202607'!H32</f>
        <v>3.2</v>
      </c>
      <c r="L32" s="54">
        <f>'202608'!H32</f>
        <v>24.2</v>
      </c>
      <c r="M32" s="53">
        <f>'202609'!H32</f>
        <v>24.2</v>
      </c>
      <c r="N32" s="23"/>
      <c r="O32" s="23"/>
      <c r="P32" s="38"/>
      <c r="Q32" s="55">
        <f t="shared" si="3"/>
        <v>24.2</v>
      </c>
      <c r="R32" s="55">
        <f t="shared" si="0"/>
        <v>3.2</v>
      </c>
      <c r="S32" s="58">
        <f>AVERAGE(E32:P32)</f>
        <v>11.888888888888889</v>
      </c>
      <c r="T32" s="56">
        <f t="shared" si="2"/>
        <v>7.8352479929553658</v>
      </c>
      <c r="U32" s="86" t="str">
        <f t="shared" si="4"/>
        <v>매우좋음</v>
      </c>
    </row>
    <row r="33" spans="1:21" ht="20.100000000000001" customHeight="1" x14ac:dyDescent="0.3">
      <c r="A33" s="18">
        <v>39</v>
      </c>
      <c r="B33" s="1" t="s">
        <v>115</v>
      </c>
      <c r="C33" s="1" t="s">
        <v>43</v>
      </c>
      <c r="D33" s="33" t="s">
        <v>30</v>
      </c>
      <c r="E33" s="53">
        <f>'202601'!H33</f>
        <v>11.2</v>
      </c>
      <c r="F33" s="53">
        <f>'202602'!H33</f>
        <v>6.8</v>
      </c>
      <c r="G33" s="54">
        <f>'202603'!H33</f>
        <v>3.9</v>
      </c>
      <c r="H33" s="54">
        <f>'202604'!H33</f>
        <v>6.2</v>
      </c>
      <c r="I33" s="54">
        <f>'202605'!H33</f>
        <v>10.199999999999999</v>
      </c>
      <c r="J33" s="54">
        <f>'202606'!H33</f>
        <v>9.8000000000000007</v>
      </c>
      <c r="K33" s="54">
        <f>'202607'!H33</f>
        <v>4.0999999999999996</v>
      </c>
      <c r="L33" s="54">
        <f>'202608'!H33</f>
        <v>1.7</v>
      </c>
      <c r="M33" s="53">
        <f>'202609'!H33</f>
        <v>1.7</v>
      </c>
      <c r="N33" s="23"/>
      <c r="O33" s="23"/>
      <c r="P33" s="38"/>
      <c r="Q33" s="55">
        <f t="shared" si="3"/>
        <v>11.2</v>
      </c>
      <c r="R33" s="55">
        <f t="shared" si="0"/>
        <v>1.7</v>
      </c>
      <c r="S33" s="55">
        <f t="shared" si="1"/>
        <v>6.177777777777778</v>
      </c>
      <c r="T33" s="56">
        <f t="shared" si="2"/>
        <v>3.6144770637596304</v>
      </c>
      <c r="U33" s="86" t="str">
        <f t="shared" si="4"/>
        <v>매우좋음</v>
      </c>
    </row>
    <row r="34" spans="1:21" ht="20.100000000000001" customHeight="1" x14ac:dyDescent="0.3">
      <c r="A34" s="18">
        <v>44</v>
      </c>
      <c r="B34" s="1" t="s">
        <v>116</v>
      </c>
      <c r="C34" s="1" t="s">
        <v>31</v>
      </c>
      <c r="D34" s="33" t="s">
        <v>32</v>
      </c>
      <c r="E34" s="53">
        <f>'202601'!H34</f>
        <v>28.8</v>
      </c>
      <c r="F34" s="53">
        <f>'202602'!H34</f>
        <v>8</v>
      </c>
      <c r="G34" s="54">
        <f>'202603'!H34</f>
        <v>7.2</v>
      </c>
      <c r="H34" s="54">
        <f>'202604'!H34</f>
        <v>5.6</v>
      </c>
      <c r="I34" s="54">
        <f>'202605'!H34</f>
        <v>31.6</v>
      </c>
      <c r="J34" s="54">
        <f>'202606'!H34</f>
        <v>11.6</v>
      </c>
      <c r="K34" s="54">
        <f>'202607'!H34</f>
        <v>9</v>
      </c>
      <c r="L34" s="54">
        <f>'202608'!H34</f>
        <v>13.2</v>
      </c>
      <c r="M34" s="53">
        <f>'202609'!H34</f>
        <v>13.2</v>
      </c>
      <c r="N34" s="23"/>
      <c r="O34" s="23"/>
      <c r="P34" s="38"/>
      <c r="Q34" s="55">
        <f t="shared" si="3"/>
        <v>31.6</v>
      </c>
      <c r="R34" s="55">
        <f t="shared" si="0"/>
        <v>5.6</v>
      </c>
      <c r="S34" s="55">
        <f>AVERAGE(E34:P34)</f>
        <v>14.244444444444444</v>
      </c>
      <c r="T34" s="56">
        <f t="shared" si="2"/>
        <v>9.4412805157869233</v>
      </c>
      <c r="U34" s="86" t="str">
        <f t="shared" si="4"/>
        <v>매우좋음</v>
      </c>
    </row>
    <row r="35" spans="1:21" ht="20.100000000000001" customHeight="1" x14ac:dyDescent="0.3">
      <c r="A35" s="18">
        <v>46</v>
      </c>
      <c r="B35" s="1" t="s">
        <v>117</v>
      </c>
      <c r="C35" s="1" t="s">
        <v>103</v>
      </c>
      <c r="D35" s="33" t="s">
        <v>122</v>
      </c>
      <c r="E35" s="53">
        <f>'202601'!H35</f>
        <v>3.7</v>
      </c>
      <c r="F35" s="53">
        <f>'202602'!H35</f>
        <v>1.1000000000000001</v>
      </c>
      <c r="G35" s="54">
        <f>'202603'!H35</f>
        <v>1.2</v>
      </c>
      <c r="H35" s="54">
        <f>'202604'!H35</f>
        <v>9.1</v>
      </c>
      <c r="I35" s="54">
        <f>'202605'!H35</f>
        <v>2.4</v>
      </c>
      <c r="J35" s="54">
        <f>'202606'!H35</f>
        <v>6.8</v>
      </c>
      <c r="K35" s="54">
        <f>'202607'!H35</f>
        <v>5.6</v>
      </c>
      <c r="L35" s="54">
        <f>'202608'!H35</f>
        <v>0.6</v>
      </c>
      <c r="M35" s="53">
        <f>'202609'!H35</f>
        <v>0.6</v>
      </c>
      <c r="N35" s="23"/>
      <c r="O35" s="23"/>
      <c r="P35" s="38"/>
      <c r="Q35" s="55">
        <f t="shared" si="3"/>
        <v>9.1</v>
      </c>
      <c r="R35" s="55">
        <f t="shared" si="0"/>
        <v>0.6</v>
      </c>
      <c r="S35" s="55">
        <f t="shared" si="1"/>
        <v>3.4555555555555557</v>
      </c>
      <c r="T35" s="56">
        <f t="shared" si="2"/>
        <v>3.0773816431794376</v>
      </c>
      <c r="U35" s="86" t="str">
        <f t="shared" si="4"/>
        <v>매우좋음</v>
      </c>
    </row>
    <row r="36" spans="1:21" ht="20.100000000000001" customHeight="1" x14ac:dyDescent="0.3">
      <c r="A36" s="18">
        <v>47</v>
      </c>
      <c r="B36" s="34" t="s">
        <v>118</v>
      </c>
      <c r="C36" s="1" t="s">
        <v>104</v>
      </c>
      <c r="D36" s="33" t="s">
        <v>105</v>
      </c>
      <c r="E36" s="53">
        <f>'202601'!H36</f>
        <v>16</v>
      </c>
      <c r="F36" s="53">
        <f>'202602'!H36</f>
        <v>4.8</v>
      </c>
      <c r="G36" s="54">
        <f>'202603'!H36</f>
        <v>6.2</v>
      </c>
      <c r="H36" s="54">
        <f>'202604'!H36</f>
        <v>7.6</v>
      </c>
      <c r="I36" s="54">
        <f>'202605'!H36</f>
        <v>7</v>
      </c>
      <c r="J36" s="54">
        <f>'202606'!H36</f>
        <v>2.9</v>
      </c>
      <c r="K36" s="54">
        <f>'202607'!H36</f>
        <v>15.6</v>
      </c>
      <c r="L36" s="54">
        <f>'202608'!H36</f>
        <v>2.5</v>
      </c>
      <c r="M36" s="53">
        <f>'202609'!H36</f>
        <v>2.5</v>
      </c>
      <c r="N36" s="23"/>
      <c r="O36" s="23"/>
      <c r="P36" s="38"/>
      <c r="Q36" s="55">
        <f t="shared" si="3"/>
        <v>16</v>
      </c>
      <c r="R36" s="55">
        <f t="shared" si="0"/>
        <v>2.5</v>
      </c>
      <c r="S36" s="55">
        <f t="shared" si="1"/>
        <v>7.2333333333333325</v>
      </c>
      <c r="T36" s="56">
        <f t="shared" si="2"/>
        <v>5.2156015952141139</v>
      </c>
      <c r="U36" s="86" t="str">
        <f t="shared" si="4"/>
        <v>매우좋음</v>
      </c>
    </row>
    <row r="37" spans="1:21" ht="20.100000000000001" customHeight="1" x14ac:dyDescent="0.3">
      <c r="A37" s="18">
        <v>49</v>
      </c>
      <c r="B37" s="48" t="s">
        <v>119</v>
      </c>
      <c r="C37" s="1" t="s">
        <v>98</v>
      </c>
      <c r="D37" s="33" t="s">
        <v>99</v>
      </c>
      <c r="E37" s="53">
        <f>'202601'!H37</f>
        <v>3.5</v>
      </c>
      <c r="F37" s="53">
        <f>'202602'!H37</f>
        <v>0.9</v>
      </c>
      <c r="G37" s="54">
        <f>'202603'!H37</f>
        <v>2.9</v>
      </c>
      <c r="H37" s="54">
        <f>'202604'!H37</f>
        <v>15.5</v>
      </c>
      <c r="I37" s="54">
        <f>'202605'!H37</f>
        <v>24.8</v>
      </c>
      <c r="J37" s="54">
        <f>'202606'!H37</f>
        <v>14.4</v>
      </c>
      <c r="K37" s="54">
        <f>'202607'!H37</f>
        <v>11.6</v>
      </c>
      <c r="L37" s="54">
        <f>'202608'!H37</f>
        <v>1.9</v>
      </c>
      <c r="M37" s="53">
        <f>'202609'!H37</f>
        <v>1.9</v>
      </c>
      <c r="N37" s="23"/>
      <c r="O37" s="23"/>
      <c r="P37" s="38"/>
      <c r="Q37" s="55">
        <f t="shared" si="3"/>
        <v>24.8</v>
      </c>
      <c r="R37" s="55">
        <f t="shared" si="0"/>
        <v>0.9</v>
      </c>
      <c r="S37" s="55">
        <f t="shared" si="1"/>
        <v>8.6000000000000014</v>
      </c>
      <c r="T37" s="56">
        <f t="shared" si="2"/>
        <v>8.3685422864439172</v>
      </c>
      <c r="U37" s="86" t="str">
        <f t="shared" si="4"/>
        <v>매우좋음</v>
      </c>
    </row>
    <row r="38" spans="1:21" ht="20.100000000000001" customHeight="1" x14ac:dyDescent="0.3">
      <c r="A38" s="18">
        <v>50</v>
      </c>
      <c r="B38" s="1" t="s">
        <v>120</v>
      </c>
      <c r="C38" s="1" t="s">
        <v>29</v>
      </c>
      <c r="D38" s="33" t="s">
        <v>80</v>
      </c>
      <c r="E38" s="53">
        <f>'202601'!H38</f>
        <v>7</v>
      </c>
      <c r="F38" s="53">
        <f>'202602'!H38</f>
        <v>12</v>
      </c>
      <c r="G38" s="97">
        <f>'202603'!H38</f>
        <v>186.4</v>
      </c>
      <c r="H38" s="97">
        <f>'202604'!H38</f>
        <v>124.8</v>
      </c>
      <c r="I38" s="54">
        <f>'202605'!H38</f>
        <v>17</v>
      </c>
      <c r="J38" s="54">
        <f>'202606'!H38</f>
        <v>9.3000000000000007</v>
      </c>
      <c r="K38" s="54">
        <f>'202607'!H38</f>
        <v>4.5</v>
      </c>
      <c r="L38" s="54">
        <f>'202608'!H38</f>
        <v>2.2000000000000002</v>
      </c>
      <c r="M38" s="53">
        <f>'202609'!H38</f>
        <v>2.2000000000000002</v>
      </c>
      <c r="N38" s="23"/>
      <c r="O38" s="23"/>
      <c r="P38" s="38"/>
      <c r="Q38" s="55">
        <f t="shared" si="3"/>
        <v>186.4</v>
      </c>
      <c r="R38" s="55">
        <f t="shared" si="0"/>
        <v>2.2000000000000002</v>
      </c>
      <c r="S38" s="55">
        <f t="shared" si="1"/>
        <v>40.599999999999994</v>
      </c>
      <c r="T38" s="56">
        <f t="shared" si="2"/>
        <v>67.159492999873066</v>
      </c>
      <c r="U38" s="86" t="str">
        <f t="shared" si="4"/>
        <v>약간나쁨</v>
      </c>
    </row>
    <row r="39" spans="1:21" ht="19.5" customHeight="1" x14ac:dyDescent="0.3">
      <c r="B39" s="35" t="s">
        <v>121</v>
      </c>
      <c r="C39" s="35" t="s">
        <v>37</v>
      </c>
      <c r="D39" s="33" t="s">
        <v>92</v>
      </c>
      <c r="E39" s="53">
        <f>'202601'!H39</f>
        <v>1.3</v>
      </c>
      <c r="F39" s="53">
        <f>'202602'!H39</f>
        <v>3.6</v>
      </c>
      <c r="G39" s="54">
        <f>'202603'!H39</f>
        <v>8.4</v>
      </c>
      <c r="H39" s="54">
        <f>'202604'!H39</f>
        <v>10.199999999999999</v>
      </c>
      <c r="I39" s="54">
        <f>'202605'!H39</f>
        <v>15.6</v>
      </c>
      <c r="J39" s="54">
        <f>'202606'!H39</f>
        <v>12.8</v>
      </c>
      <c r="K39" s="54">
        <f>'202607'!H39</f>
        <v>10.3</v>
      </c>
      <c r="L39" s="54">
        <f>'202608'!H39</f>
        <v>15.4</v>
      </c>
      <c r="M39" s="53">
        <f>'202609'!H39</f>
        <v>15.4</v>
      </c>
      <c r="N39" s="6"/>
      <c r="O39" s="6"/>
      <c r="P39" s="6"/>
      <c r="Q39" s="55">
        <f t="shared" si="3"/>
        <v>15.6</v>
      </c>
      <c r="R39" s="55">
        <f t="shared" si="0"/>
        <v>1.3</v>
      </c>
      <c r="S39" s="55">
        <f>AVERAGE(E39:P39)</f>
        <v>10.333333333333336</v>
      </c>
      <c r="T39" s="56">
        <f t="shared" si="2"/>
        <v>5.1944682114726612</v>
      </c>
      <c r="U39" s="86" t="str">
        <f t="shared" si="4"/>
        <v>매우좋음</v>
      </c>
    </row>
    <row r="40" spans="1:21" ht="16.5" customHeight="1" x14ac:dyDescent="0.3">
      <c r="C40" s="17"/>
    </row>
    <row r="43" spans="1:21" x14ac:dyDescent="0.3">
      <c r="P43" s="25"/>
    </row>
  </sheetData>
  <mergeCells count="5">
    <mergeCell ref="A1:T1"/>
    <mergeCell ref="B3:B6"/>
    <mergeCell ref="B12:B16"/>
    <mergeCell ref="B17:B18"/>
    <mergeCell ref="B20:B32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95D3-4F50-446F-8F97-52B49BD258F3}">
  <sheetPr>
    <tabColor theme="9" tint="0.79998168889431442"/>
  </sheetPr>
  <dimension ref="A1:V43"/>
  <sheetViews>
    <sheetView topLeftCell="B1" zoomScaleNormal="100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M33" activeCellId="3" sqref="M8 M21 M20 M33"/>
    </sheetView>
  </sheetViews>
  <sheetFormatPr defaultRowHeight="14.25" x14ac:dyDescent="0.3"/>
  <cols>
    <col min="1" max="1" width="4.75" style="11" bestFit="1" customWidth="1"/>
    <col min="2" max="2" width="9.125" style="11" customWidth="1"/>
    <col min="3" max="3" width="12.25" style="11" bestFit="1" customWidth="1"/>
    <col min="4" max="4" width="44" style="17" bestFit="1" customWidth="1"/>
    <col min="5" max="5" width="8.125" style="16" customWidth="1"/>
    <col min="6" max="6" width="9.75" style="16" customWidth="1"/>
    <col min="7" max="15" width="8.125" style="16" customWidth="1"/>
    <col min="16" max="16" width="7.5" style="16" customWidth="1"/>
    <col min="17" max="17" width="8.125" style="7" customWidth="1"/>
    <col min="18" max="18" width="12.875" style="11" customWidth="1"/>
    <col min="19" max="20" width="12.875" style="17" customWidth="1"/>
    <col min="21" max="16384" width="9" style="17"/>
  </cols>
  <sheetData>
    <row r="1" spans="1:22" ht="35.25" customHeight="1" x14ac:dyDescent="0.3">
      <c r="A1" s="111" t="s">
        <v>129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2" ht="25.5" customHeight="1" x14ac:dyDescent="0.3">
      <c r="A2" s="13" t="s">
        <v>33</v>
      </c>
      <c r="B2" s="14" t="s">
        <v>34</v>
      </c>
      <c r="C2" s="14" t="s">
        <v>0</v>
      </c>
      <c r="D2" s="15" t="s">
        <v>1</v>
      </c>
      <c r="E2" s="47" t="s">
        <v>69</v>
      </c>
      <c r="F2" s="47" t="s">
        <v>70</v>
      </c>
      <c r="G2" s="47" t="s">
        <v>71</v>
      </c>
      <c r="H2" s="47" t="s">
        <v>72</v>
      </c>
      <c r="I2" s="47" t="s">
        <v>73</v>
      </c>
      <c r="J2" s="47" t="s">
        <v>74</v>
      </c>
      <c r="K2" s="47" t="s">
        <v>75</v>
      </c>
      <c r="L2" s="47" t="s">
        <v>68</v>
      </c>
      <c r="M2" s="47" t="s">
        <v>81</v>
      </c>
      <c r="N2" s="47" t="s">
        <v>82</v>
      </c>
      <c r="O2" s="47" t="s">
        <v>83</v>
      </c>
      <c r="P2" s="47" t="s">
        <v>84</v>
      </c>
      <c r="Q2" s="9" t="s">
        <v>78</v>
      </c>
      <c r="R2" s="12" t="s">
        <v>79</v>
      </c>
      <c r="S2" s="12" t="s">
        <v>76</v>
      </c>
      <c r="T2" s="45" t="s">
        <v>77</v>
      </c>
    </row>
    <row r="3" spans="1:22" ht="20.100000000000001" customHeight="1" x14ac:dyDescent="0.3">
      <c r="A3" s="18">
        <v>2</v>
      </c>
      <c r="B3" s="108" t="s">
        <v>66</v>
      </c>
      <c r="C3" s="1" t="s">
        <v>38</v>
      </c>
      <c r="D3" s="33" t="s">
        <v>46</v>
      </c>
      <c r="E3" s="59">
        <f>'202601'!I3</f>
        <v>9.6359999999999992</v>
      </c>
      <c r="F3" s="59">
        <f>'202602'!I3</f>
        <v>8.39</v>
      </c>
      <c r="G3" s="60">
        <f>'202603'!I3</f>
        <v>6.0149999999999997</v>
      </c>
      <c r="H3" s="60">
        <f>'202604'!I3</f>
        <v>3.698</v>
      </c>
      <c r="I3" s="60">
        <f>'202605'!I3</f>
        <v>5.1790000000000003</v>
      </c>
      <c r="J3" s="60">
        <f>'202606'!I3</f>
        <v>1.671</v>
      </c>
      <c r="K3" s="60">
        <f>'202607'!I3</f>
        <v>5.6959999999999997</v>
      </c>
      <c r="L3" s="60">
        <f>'202608'!I3</f>
        <v>4.4950000000000001</v>
      </c>
      <c r="M3" s="59">
        <f>'202609'!I3</f>
        <v>6.44</v>
      </c>
      <c r="N3" s="59"/>
      <c r="O3" s="59"/>
      <c r="P3" s="59"/>
      <c r="Q3" s="61">
        <f>MAX(E3:P3)</f>
        <v>9.6359999999999992</v>
      </c>
      <c r="R3" s="61">
        <f t="shared" ref="R3:R39" si="0">MIN(E3:P3)</f>
        <v>1.671</v>
      </c>
      <c r="S3" s="61">
        <f t="shared" ref="S3:S38" si="1">AVERAGE(E3:P3)</f>
        <v>5.6911111111111099</v>
      </c>
      <c r="T3" s="62">
        <f t="shared" ref="T3:T39" si="2">STDEV(E3:P3)</f>
        <v>2.3806153849606031</v>
      </c>
    </row>
    <row r="4" spans="1:22" ht="20.100000000000001" customHeight="1" x14ac:dyDescent="0.3">
      <c r="A4" s="18">
        <v>3</v>
      </c>
      <c r="B4" s="109"/>
      <c r="C4" s="1" t="s">
        <v>8</v>
      </c>
      <c r="D4" s="33" t="s">
        <v>47</v>
      </c>
      <c r="E4" s="59">
        <f>'202601'!I4</f>
        <v>3.0470000000000002</v>
      </c>
      <c r="F4" s="59">
        <f>'202602'!I4</f>
        <v>2.7330000000000001</v>
      </c>
      <c r="G4" s="60">
        <f>'202603'!I4</f>
        <v>2.2530000000000001</v>
      </c>
      <c r="H4" s="60">
        <f>'202604'!I4</f>
        <v>2.2709999999999999</v>
      </c>
      <c r="I4" s="60">
        <f>'202605'!I4</f>
        <v>2.5920000000000001</v>
      </c>
      <c r="J4" s="60">
        <f>'202606'!I4</f>
        <v>2.109</v>
      </c>
      <c r="K4" s="60">
        <f>'202607'!I4</f>
        <v>1.865</v>
      </c>
      <c r="L4" s="60">
        <f>'202608'!I4</f>
        <v>1.42</v>
      </c>
      <c r="M4" s="59">
        <f>'202609'!I4</f>
        <v>4.5529999999999999</v>
      </c>
      <c r="N4" s="59"/>
      <c r="O4" s="59"/>
      <c r="P4" s="59"/>
      <c r="Q4" s="61">
        <f t="shared" ref="Q4:Q39" si="3">MAX(E4:P4)</f>
        <v>4.5529999999999999</v>
      </c>
      <c r="R4" s="61">
        <f t="shared" si="0"/>
        <v>1.42</v>
      </c>
      <c r="S4" s="61">
        <f t="shared" si="1"/>
        <v>2.5381111111111112</v>
      </c>
      <c r="T4" s="62">
        <f t="shared" si="2"/>
        <v>0.89440307530280239</v>
      </c>
    </row>
    <row r="5" spans="1:22" ht="20.100000000000001" customHeight="1" x14ac:dyDescent="0.3">
      <c r="A5" s="18">
        <v>4</v>
      </c>
      <c r="B5" s="109"/>
      <c r="C5" s="1" t="s">
        <v>9</v>
      </c>
      <c r="D5" s="33" t="s">
        <v>48</v>
      </c>
      <c r="E5" s="59">
        <f>'202601'!I5</f>
        <v>4.7229999999999999</v>
      </c>
      <c r="F5" s="59">
        <f>'202602'!I5</f>
        <v>3.9409999999999998</v>
      </c>
      <c r="G5" s="60">
        <f>'202603'!I5</f>
        <v>3.4860000000000002</v>
      </c>
      <c r="H5" s="60">
        <f>'202604'!I5</f>
        <v>2.9529999999999998</v>
      </c>
      <c r="I5" s="60">
        <f>'202605'!I5</f>
        <v>3.0070000000000001</v>
      </c>
      <c r="J5" s="60">
        <f>'202606'!I5</f>
        <v>2.0249999999999999</v>
      </c>
      <c r="K5" s="60">
        <f>'202607'!I5</f>
        <v>1.863</v>
      </c>
      <c r="L5" s="60">
        <f>'202608'!I5</f>
        <v>2.1989999999999998</v>
      </c>
      <c r="M5" s="59">
        <f>'202609'!I5</f>
        <v>4.4809999999999999</v>
      </c>
      <c r="N5" s="59"/>
      <c r="O5" s="59"/>
      <c r="P5" s="59"/>
      <c r="Q5" s="61">
        <f t="shared" si="3"/>
        <v>4.7229999999999999</v>
      </c>
      <c r="R5" s="61">
        <f t="shared" si="0"/>
        <v>1.863</v>
      </c>
      <c r="S5" s="61">
        <f t="shared" si="1"/>
        <v>3.1864444444444442</v>
      </c>
      <c r="T5" s="62">
        <f t="shared" si="2"/>
        <v>1.0522693465922961</v>
      </c>
    </row>
    <row r="6" spans="1:22" ht="20.100000000000001" customHeight="1" x14ac:dyDescent="0.3">
      <c r="A6" s="18">
        <v>8</v>
      </c>
      <c r="B6" s="110"/>
      <c r="C6" s="1" t="s">
        <v>10</v>
      </c>
      <c r="D6" s="33" t="s">
        <v>97</v>
      </c>
      <c r="E6" s="59">
        <f>'202601'!I6</f>
        <v>4.9589999999999996</v>
      </c>
      <c r="F6" s="59">
        <f>'202602'!I6</f>
        <v>8.2140000000000004</v>
      </c>
      <c r="G6" s="60">
        <f>'202603'!I6</f>
        <v>4.0789999999999997</v>
      </c>
      <c r="H6" s="60">
        <f>'202604'!I6</f>
        <v>4.4359999999999999</v>
      </c>
      <c r="I6" s="60">
        <f>'202605'!I6</f>
        <v>2.9169999999999998</v>
      </c>
      <c r="J6" s="60">
        <f>'202606'!I6</f>
        <v>1.9950000000000001</v>
      </c>
      <c r="K6" s="60">
        <f>'202607'!I6</f>
        <v>2.3380000000000001</v>
      </c>
      <c r="L6" s="60">
        <f>'202608'!I6</f>
        <v>2.0670000000000002</v>
      </c>
      <c r="M6" s="59">
        <f>'202609'!I6</f>
        <v>5.657</v>
      </c>
      <c r="N6" s="59"/>
      <c r="O6" s="59"/>
      <c r="P6" s="59"/>
      <c r="Q6" s="61">
        <f t="shared" si="3"/>
        <v>8.2140000000000004</v>
      </c>
      <c r="R6" s="61">
        <f t="shared" si="0"/>
        <v>1.9950000000000001</v>
      </c>
      <c r="S6" s="59">
        <f>AVERAGE(E6:P6)</f>
        <v>4.0735555555555552</v>
      </c>
      <c r="T6" s="62">
        <f t="shared" si="2"/>
        <v>2.0390689119737431</v>
      </c>
    </row>
    <row r="7" spans="1:22" ht="20.100000000000001" customHeight="1" x14ac:dyDescent="0.3">
      <c r="A7" s="18">
        <v>10</v>
      </c>
      <c r="B7" s="48" t="s">
        <v>108</v>
      </c>
      <c r="C7" s="1" t="s">
        <v>39</v>
      </c>
      <c r="D7" s="33" t="s">
        <v>49</v>
      </c>
      <c r="E7" s="59">
        <f>'202601'!I7</f>
        <v>10.672000000000001</v>
      </c>
      <c r="F7" s="59">
        <f>'202602'!I7</f>
        <v>7.8570000000000002</v>
      </c>
      <c r="G7" s="60">
        <f>'202603'!I7</f>
        <v>6.1239999999999997</v>
      </c>
      <c r="H7" s="60">
        <f>'202604'!I7</f>
        <v>1.3420000000000001</v>
      </c>
      <c r="I7" s="60">
        <f>'202605'!I7</f>
        <v>1.93</v>
      </c>
      <c r="J7" s="60">
        <f>'202606'!I7</f>
        <v>1.4890000000000001</v>
      </c>
      <c r="K7" s="60">
        <f>'202607'!I7</f>
        <v>4.5739999999999998</v>
      </c>
      <c r="L7" s="60">
        <f>'202608'!I7</f>
        <v>3.8479999999999999</v>
      </c>
      <c r="M7" s="59">
        <f>'202609'!I7</f>
        <v>2.6789999999999998</v>
      </c>
      <c r="N7" s="59"/>
      <c r="O7" s="59"/>
      <c r="P7" s="59"/>
      <c r="Q7" s="61">
        <f t="shared" si="3"/>
        <v>10.672000000000001</v>
      </c>
      <c r="R7" s="61">
        <f t="shared" si="0"/>
        <v>1.3420000000000001</v>
      </c>
      <c r="S7" s="61">
        <f t="shared" si="1"/>
        <v>4.5016666666666669</v>
      </c>
      <c r="T7" s="62">
        <f t="shared" si="2"/>
        <v>3.189651038906919</v>
      </c>
    </row>
    <row r="8" spans="1:22" ht="20.100000000000001" customHeight="1" x14ac:dyDescent="0.3">
      <c r="A8" s="18">
        <v>11</v>
      </c>
      <c r="B8" s="41"/>
      <c r="C8" s="1" t="s">
        <v>11</v>
      </c>
      <c r="D8" s="33" t="s">
        <v>96</v>
      </c>
      <c r="E8" s="59">
        <f>'202601'!I8</f>
        <v>10.502000000000001</v>
      </c>
      <c r="F8" s="59">
        <f>'202602'!I8</f>
        <v>7.7329999999999997</v>
      </c>
      <c r="G8" s="60">
        <f>'202603'!I8</f>
        <v>6.0780000000000003</v>
      </c>
      <c r="H8" s="60">
        <f>'202604'!I8</f>
        <v>1.3169999999999999</v>
      </c>
      <c r="I8" s="60">
        <f>'202605'!I8</f>
        <v>1.8069999999999999</v>
      </c>
      <c r="J8" s="60">
        <f>'202606'!I8</f>
        <v>1.6850000000000001</v>
      </c>
      <c r="K8" s="60">
        <f>'202607'!I8</f>
        <v>4.3079999999999998</v>
      </c>
      <c r="L8" s="60">
        <f>'202608'!I8</f>
        <v>3.7879999999999998</v>
      </c>
      <c r="M8" s="100">
        <f>'202609'!I8</f>
        <v>10.656000000000001</v>
      </c>
      <c r="N8" s="59"/>
      <c r="O8" s="59"/>
      <c r="P8" s="59"/>
      <c r="Q8" s="61">
        <f t="shared" si="3"/>
        <v>10.656000000000001</v>
      </c>
      <c r="R8" s="61">
        <f t="shared" si="0"/>
        <v>1.3169999999999999</v>
      </c>
      <c r="S8" s="61">
        <f t="shared" si="1"/>
        <v>5.3193333333333319</v>
      </c>
      <c r="T8" s="62">
        <f t="shared" si="2"/>
        <v>3.6515873260816334</v>
      </c>
    </row>
    <row r="9" spans="1:22" ht="20.100000000000001" customHeight="1" x14ac:dyDescent="0.3">
      <c r="A9" s="18">
        <v>12</v>
      </c>
      <c r="B9" s="42"/>
      <c r="C9" s="1" t="s">
        <v>12</v>
      </c>
      <c r="D9" s="33" t="s">
        <v>50</v>
      </c>
      <c r="E9" s="59">
        <f>'202601'!I9</f>
        <v>10.544</v>
      </c>
      <c r="F9" s="59">
        <f>'202602'!I9</f>
        <v>7.6669999999999998</v>
      </c>
      <c r="G9" s="60">
        <f>'202603'!I9</f>
        <v>6.3769999999999998</v>
      </c>
      <c r="H9" s="60">
        <f>'202604'!I9</f>
        <v>5.2249999999999996</v>
      </c>
      <c r="I9" s="60">
        <f>'202605'!I9</f>
        <v>1.9410000000000001</v>
      </c>
      <c r="J9" s="60">
        <f>'202606'!I9</f>
        <v>1.6779999999999999</v>
      </c>
      <c r="K9" s="60">
        <f>'202607'!I9</f>
        <v>4.54</v>
      </c>
      <c r="L9" s="60">
        <f>'202608'!I9</f>
        <v>3.7280000000000002</v>
      </c>
      <c r="M9" s="59">
        <f>'202609'!I9</f>
        <v>4.7329999999999997</v>
      </c>
      <c r="N9" s="59"/>
      <c r="O9" s="59"/>
      <c r="P9" s="59"/>
      <c r="Q9" s="61">
        <f t="shared" si="3"/>
        <v>10.544</v>
      </c>
      <c r="R9" s="61">
        <f t="shared" si="0"/>
        <v>1.6779999999999999</v>
      </c>
      <c r="S9" s="61">
        <f>AVERAGE(E9:P9)</f>
        <v>5.1592222222222217</v>
      </c>
      <c r="T9" s="62">
        <f t="shared" si="2"/>
        <v>2.7807699373454926</v>
      </c>
    </row>
    <row r="10" spans="1:22" ht="20.100000000000001" customHeight="1" x14ac:dyDescent="0.3">
      <c r="A10" s="18">
        <v>13</v>
      </c>
      <c r="B10" s="1" t="s">
        <v>109</v>
      </c>
      <c r="C10" s="1" t="s">
        <v>35</v>
      </c>
      <c r="D10" s="33" t="s">
        <v>51</v>
      </c>
      <c r="E10" s="59">
        <f>'202601'!I10</f>
        <v>10.691000000000001</v>
      </c>
      <c r="F10" s="59">
        <f>'202602'!I10</f>
        <v>9.4779999999999998</v>
      </c>
      <c r="G10" s="60">
        <f>'202603'!I10</f>
        <v>6.6609999999999996</v>
      </c>
      <c r="H10" s="60">
        <f>'202604'!I10</f>
        <v>5.35</v>
      </c>
      <c r="I10" s="60">
        <f>'202605'!I10</f>
        <v>4.9370000000000003</v>
      </c>
      <c r="J10" s="60">
        <f>'202606'!I10</f>
        <v>3.8580000000000001</v>
      </c>
      <c r="K10" s="60">
        <f>'202607'!I10</f>
        <v>5.71</v>
      </c>
      <c r="L10" s="60">
        <f>'202608'!I10</f>
        <v>6.7130000000000001</v>
      </c>
      <c r="M10" s="59">
        <f>'202609'!I10</f>
        <v>5.0270000000000001</v>
      </c>
      <c r="N10" s="59"/>
      <c r="O10" s="59"/>
      <c r="P10" s="59"/>
      <c r="Q10" s="61">
        <f t="shared" si="3"/>
        <v>10.691000000000001</v>
      </c>
      <c r="R10" s="61">
        <f t="shared" si="0"/>
        <v>3.8580000000000001</v>
      </c>
      <c r="S10" s="61">
        <f t="shared" si="1"/>
        <v>6.4916666666666663</v>
      </c>
      <c r="T10" s="62">
        <f t="shared" si="2"/>
        <v>2.2372721112998319</v>
      </c>
    </row>
    <row r="11" spans="1:22" ht="20.100000000000001" customHeight="1" x14ac:dyDescent="0.3">
      <c r="A11" s="18">
        <v>14</v>
      </c>
      <c r="B11" s="1" t="s">
        <v>110</v>
      </c>
      <c r="C11" s="1" t="s">
        <v>65</v>
      </c>
      <c r="D11" s="33" t="s">
        <v>85</v>
      </c>
      <c r="E11" s="59">
        <f>'202601'!I11</f>
        <v>10.587</v>
      </c>
      <c r="F11" s="59">
        <f>'202602'!I11</f>
        <v>9.5039999999999996</v>
      </c>
      <c r="G11" s="60">
        <f>'202603'!I11</f>
        <v>6.6479999999999997</v>
      </c>
      <c r="H11" s="60">
        <f>'202604'!I11</f>
        <v>5.335</v>
      </c>
      <c r="I11" s="60">
        <f>'202605'!I11</f>
        <v>4.9960000000000004</v>
      </c>
      <c r="J11" s="60">
        <f>'202606'!I11</f>
        <v>3.7330000000000001</v>
      </c>
      <c r="K11" s="60">
        <f>'202607'!I11</f>
        <v>5.8410000000000002</v>
      </c>
      <c r="L11" s="60">
        <f>'202608'!I11</f>
        <v>6.702</v>
      </c>
      <c r="M11" s="59">
        <f>'202609'!I11</f>
        <v>3.593</v>
      </c>
      <c r="N11" s="59"/>
      <c r="O11" s="59"/>
      <c r="P11" s="59"/>
      <c r="Q11" s="61">
        <f t="shared" si="3"/>
        <v>10.587</v>
      </c>
      <c r="R11" s="61">
        <f t="shared" si="0"/>
        <v>3.593</v>
      </c>
      <c r="S11" s="61">
        <f t="shared" si="1"/>
        <v>6.3265555555555544</v>
      </c>
      <c r="T11" s="62">
        <f t="shared" si="2"/>
        <v>2.3895607918146338</v>
      </c>
      <c r="V11" s="17">
        <v>1</v>
      </c>
    </row>
    <row r="12" spans="1:22" ht="20.100000000000001" customHeight="1" x14ac:dyDescent="0.3">
      <c r="A12" s="18">
        <v>17</v>
      </c>
      <c r="B12" s="108" t="s">
        <v>111</v>
      </c>
      <c r="C12" s="1" t="s">
        <v>40</v>
      </c>
      <c r="D12" s="33" t="s">
        <v>52</v>
      </c>
      <c r="E12" s="59">
        <f>'202601'!I12</f>
        <v>8.6349999999999998</v>
      </c>
      <c r="F12" s="59">
        <f>'202602'!I12</f>
        <v>7.806</v>
      </c>
      <c r="G12" s="60">
        <f>'202603'!I12</f>
        <v>4.6349999999999998</v>
      </c>
      <c r="H12" s="60">
        <f>'202604'!I12</f>
        <v>3.7269999999999999</v>
      </c>
      <c r="I12" s="60">
        <f>'202605'!I12</f>
        <v>3.931</v>
      </c>
      <c r="J12" s="60">
        <f>'202606'!I12</f>
        <v>5.03</v>
      </c>
      <c r="K12" s="60">
        <f>'202607'!I12</f>
        <v>6.6230000000000002</v>
      </c>
      <c r="L12" s="60">
        <f>'202608'!I12</f>
        <v>3.8519999999999999</v>
      </c>
      <c r="M12" s="59">
        <f>'202609'!I12</f>
        <v>3.3380000000000001</v>
      </c>
      <c r="N12" s="59"/>
      <c r="O12" s="59"/>
      <c r="P12" s="59"/>
      <c r="Q12" s="61">
        <f t="shared" si="3"/>
        <v>8.6349999999999998</v>
      </c>
      <c r="R12" s="61">
        <f t="shared" si="0"/>
        <v>3.3380000000000001</v>
      </c>
      <c r="S12" s="61">
        <f t="shared" si="1"/>
        <v>5.2863333333333333</v>
      </c>
      <c r="T12" s="62">
        <f t="shared" si="2"/>
        <v>1.9352219510950155</v>
      </c>
    </row>
    <row r="13" spans="1:22" ht="20.100000000000001" customHeight="1" x14ac:dyDescent="0.3">
      <c r="A13" s="18">
        <v>18</v>
      </c>
      <c r="B13" s="109"/>
      <c r="C13" s="1" t="s">
        <v>13</v>
      </c>
      <c r="D13" s="33" t="s">
        <v>53</v>
      </c>
      <c r="E13" s="59">
        <f>'202601'!I13</f>
        <v>8.7829999999999995</v>
      </c>
      <c r="F13" s="59">
        <f>'202602'!I13</f>
        <v>7.83</v>
      </c>
      <c r="G13" s="60">
        <f>'202603'!I13</f>
        <v>4.6779999999999999</v>
      </c>
      <c r="H13" s="60">
        <f>'202604'!I13</f>
        <v>3.7850000000000001</v>
      </c>
      <c r="I13" s="60">
        <f>'202605'!I13</f>
        <v>4.1399999999999997</v>
      </c>
      <c r="J13" s="60">
        <f>'202606'!I13</f>
        <v>5.0679999999999996</v>
      </c>
      <c r="K13" s="60">
        <f>'202607'!I13</f>
        <v>6.9189999999999996</v>
      </c>
      <c r="L13" s="60">
        <f>'202608'!I13</f>
        <v>4.4210000000000003</v>
      </c>
      <c r="M13" s="59">
        <f>'202609'!I13</f>
        <v>4.54</v>
      </c>
      <c r="N13" s="59"/>
      <c r="O13" s="59"/>
      <c r="P13" s="59"/>
      <c r="Q13" s="61">
        <f t="shared" si="3"/>
        <v>8.7829999999999995</v>
      </c>
      <c r="R13" s="61">
        <f t="shared" si="0"/>
        <v>3.7850000000000001</v>
      </c>
      <c r="S13" s="61">
        <f t="shared" si="1"/>
        <v>5.5737777777777771</v>
      </c>
      <c r="T13" s="62">
        <f t="shared" si="2"/>
        <v>1.7996713434525884</v>
      </c>
    </row>
    <row r="14" spans="1:22" ht="20.100000000000001" customHeight="1" x14ac:dyDescent="0.3">
      <c r="A14" s="18">
        <v>20</v>
      </c>
      <c r="B14" s="109"/>
      <c r="C14" s="1" t="s">
        <v>14</v>
      </c>
      <c r="D14" s="33" t="s">
        <v>54</v>
      </c>
      <c r="E14" s="59">
        <f>'202601'!I14</f>
        <v>9.0090000000000003</v>
      </c>
      <c r="F14" s="59">
        <f>'202602'!I14</f>
        <v>7.8719999999999999</v>
      </c>
      <c r="G14" s="60">
        <f>'202603'!I14</f>
        <v>4.7510000000000003</v>
      </c>
      <c r="H14" s="60">
        <f>'202604'!I14</f>
        <v>3.7389999999999999</v>
      </c>
      <c r="I14" s="60">
        <f>'202605'!I14</f>
        <v>4.0309999999999997</v>
      </c>
      <c r="J14" s="60">
        <f>'202606'!I14</f>
        <v>4.4029999999999996</v>
      </c>
      <c r="K14" s="60">
        <f>'202607'!I14</f>
        <v>4.4619999999999997</v>
      </c>
      <c r="L14" s="60">
        <f>'202608'!I14</f>
        <v>4.42</v>
      </c>
      <c r="M14" s="59">
        <f>'202609'!I14</f>
        <v>4.9409999999999998</v>
      </c>
      <c r="N14" s="59"/>
      <c r="O14" s="59"/>
      <c r="P14" s="59"/>
      <c r="Q14" s="61">
        <f t="shared" si="3"/>
        <v>9.0090000000000003</v>
      </c>
      <c r="R14" s="61">
        <f t="shared" si="0"/>
        <v>3.7389999999999999</v>
      </c>
      <c r="S14" s="61">
        <f t="shared" si="1"/>
        <v>5.2919999999999998</v>
      </c>
      <c r="T14" s="62">
        <f t="shared" si="2"/>
        <v>1.8415314957936508</v>
      </c>
    </row>
    <row r="15" spans="1:22" ht="20.100000000000001" customHeight="1" x14ac:dyDescent="0.3">
      <c r="A15" s="18">
        <v>21</v>
      </c>
      <c r="B15" s="109"/>
      <c r="C15" s="1" t="s">
        <v>15</v>
      </c>
      <c r="D15" s="33" t="s">
        <v>55</v>
      </c>
      <c r="E15" s="59">
        <f>'202601'!I15</f>
        <v>8.7349999999999994</v>
      </c>
      <c r="F15" s="59">
        <f>'202602'!I15</f>
        <v>7.6970000000000001</v>
      </c>
      <c r="G15" s="60">
        <f>'202603'!I15</f>
        <v>4.4729999999999999</v>
      </c>
      <c r="H15" s="60">
        <f>'202604'!I15</f>
        <v>3.698</v>
      </c>
      <c r="I15" s="60">
        <f>'202605'!I15</f>
        <v>3.9329999999999998</v>
      </c>
      <c r="J15" s="60">
        <f>'202606'!I15</f>
        <v>4.1890000000000001</v>
      </c>
      <c r="K15" s="60">
        <f>'202607'!I15</f>
        <v>4.569</v>
      </c>
      <c r="L15" s="60">
        <f>'202608'!I15</f>
        <v>6.6710000000000003</v>
      </c>
      <c r="M15" s="59">
        <f>'202609'!I15</f>
        <v>4.7720000000000002</v>
      </c>
      <c r="N15" s="59"/>
      <c r="O15" s="59"/>
      <c r="P15" s="59"/>
      <c r="Q15" s="61">
        <f t="shared" si="3"/>
        <v>8.7349999999999994</v>
      </c>
      <c r="R15" s="61">
        <f t="shared" si="0"/>
        <v>3.698</v>
      </c>
      <c r="S15" s="61">
        <f t="shared" si="1"/>
        <v>5.4152222222222219</v>
      </c>
      <c r="T15" s="62">
        <f t="shared" si="2"/>
        <v>1.8190477438606332</v>
      </c>
    </row>
    <row r="16" spans="1:22" ht="20.100000000000001" customHeight="1" x14ac:dyDescent="0.3">
      <c r="A16" s="18">
        <v>22</v>
      </c>
      <c r="B16" s="110"/>
      <c r="C16" s="1" t="s">
        <v>16</v>
      </c>
      <c r="D16" s="33" t="s">
        <v>86</v>
      </c>
      <c r="E16" s="59">
        <f>'202601'!I16</f>
        <v>8.827</v>
      </c>
      <c r="F16" s="59">
        <f>'202602'!I16</f>
        <v>7.5350000000000001</v>
      </c>
      <c r="G16" s="60">
        <f>'202603'!I16</f>
        <v>4.718</v>
      </c>
      <c r="H16" s="60">
        <f>'202604'!I16</f>
        <v>3.702</v>
      </c>
      <c r="I16" s="60">
        <f>'202605'!I16</f>
        <v>5.0430000000000001</v>
      </c>
      <c r="J16" s="60">
        <f>'202606'!I16</f>
        <v>4.1900000000000004</v>
      </c>
      <c r="K16" s="60">
        <f>'202607'!I16</f>
        <v>4.6070000000000002</v>
      </c>
      <c r="L16" s="60">
        <f>'202608'!I16</f>
        <v>6.6369999999999996</v>
      </c>
      <c r="M16" s="59">
        <f>'202609'!I16</f>
        <v>5.8209999999999997</v>
      </c>
      <c r="N16" s="59"/>
      <c r="O16" s="59"/>
      <c r="P16" s="59"/>
      <c r="Q16" s="61">
        <f t="shared" si="3"/>
        <v>8.827</v>
      </c>
      <c r="R16" s="61">
        <f t="shared" si="0"/>
        <v>3.702</v>
      </c>
      <c r="S16" s="63">
        <f>AVERAGE(E16:P16)</f>
        <v>5.6755555555555555</v>
      </c>
      <c r="T16" s="62">
        <f t="shared" si="2"/>
        <v>1.6917192520562563</v>
      </c>
    </row>
    <row r="17" spans="1:20" ht="20.100000000000001" customHeight="1" x14ac:dyDescent="0.3">
      <c r="A17" s="18">
        <v>23</v>
      </c>
      <c r="B17" s="108" t="s">
        <v>112</v>
      </c>
      <c r="C17" s="1" t="s">
        <v>41</v>
      </c>
      <c r="D17" s="33" t="s">
        <v>56</v>
      </c>
      <c r="E17" s="59">
        <f>'202601'!I17</f>
        <v>17.021999999999998</v>
      </c>
      <c r="F17" s="59">
        <f>'202602'!I17</f>
        <v>36.276000000000003</v>
      </c>
      <c r="G17" s="60">
        <f>'202603'!I17</f>
        <v>26.718</v>
      </c>
      <c r="H17" s="60">
        <f>'202604'!I17</f>
        <v>14.988</v>
      </c>
      <c r="I17" s="60">
        <f>'202605'!I17</f>
        <v>25.6</v>
      </c>
      <c r="J17" s="60">
        <f>'202606'!I17</f>
        <v>17.018000000000001</v>
      </c>
      <c r="K17" s="60">
        <f>'202607'!I17</f>
        <v>8.9960000000000004</v>
      </c>
      <c r="L17" s="60">
        <f>'202608'!I17</f>
        <v>8.0809999999999995</v>
      </c>
      <c r="M17" s="59">
        <f>'202609'!I17</f>
        <v>6.8360000000000003</v>
      </c>
      <c r="N17" s="59"/>
      <c r="O17" s="59"/>
      <c r="P17" s="59"/>
      <c r="Q17" s="61">
        <f t="shared" si="3"/>
        <v>36.276000000000003</v>
      </c>
      <c r="R17" s="61">
        <f t="shared" si="0"/>
        <v>6.8360000000000003</v>
      </c>
      <c r="S17" s="61">
        <f t="shared" si="1"/>
        <v>17.948333333333338</v>
      </c>
      <c r="T17" s="62">
        <f t="shared" si="2"/>
        <v>9.8921566152179334</v>
      </c>
    </row>
    <row r="18" spans="1:20" ht="20.100000000000001" customHeight="1" x14ac:dyDescent="0.3">
      <c r="A18" s="18">
        <v>24</v>
      </c>
      <c r="B18" s="110"/>
      <c r="C18" s="1" t="s">
        <v>17</v>
      </c>
      <c r="D18" s="33" t="s">
        <v>57</v>
      </c>
      <c r="E18" s="59">
        <f>'202601'!I18</f>
        <v>17.318999999999999</v>
      </c>
      <c r="F18" s="59">
        <f>'202602'!I18</f>
        <v>35.667999999999999</v>
      </c>
      <c r="G18" s="60">
        <f>'202603'!I18</f>
        <v>29.178000000000001</v>
      </c>
      <c r="H18" s="60">
        <f>'202604'!I18</f>
        <v>14.773</v>
      </c>
      <c r="I18" s="60">
        <f>'202605'!I18</f>
        <v>26.038</v>
      </c>
      <c r="J18" s="60">
        <f>'202606'!I18</f>
        <v>16.22</v>
      </c>
      <c r="K18" s="60">
        <f>'202607'!I18</f>
        <v>9.1460000000000008</v>
      </c>
      <c r="L18" s="60">
        <f>'202608'!I18</f>
        <v>8.0960000000000001</v>
      </c>
      <c r="M18" s="59">
        <f>'202609'!I18</f>
        <v>6.2930000000000001</v>
      </c>
      <c r="N18" s="59"/>
      <c r="O18" s="59"/>
      <c r="P18" s="59"/>
      <c r="Q18" s="61">
        <f t="shared" si="3"/>
        <v>35.667999999999999</v>
      </c>
      <c r="R18" s="61">
        <f t="shared" si="0"/>
        <v>6.2930000000000001</v>
      </c>
      <c r="S18" s="61">
        <f t="shared" si="1"/>
        <v>18.081222222222223</v>
      </c>
      <c r="T18" s="62">
        <f t="shared" si="2"/>
        <v>10.181097985700976</v>
      </c>
    </row>
    <row r="19" spans="1:20" ht="20.100000000000001" customHeight="1" x14ac:dyDescent="0.3">
      <c r="A19" s="18">
        <v>25</v>
      </c>
      <c r="B19" s="1" t="s">
        <v>113</v>
      </c>
      <c r="C19" s="1" t="s">
        <v>36</v>
      </c>
      <c r="D19" s="33" t="s">
        <v>58</v>
      </c>
      <c r="E19" s="59">
        <f>'202601'!I19</f>
        <v>9.3350000000000009</v>
      </c>
      <c r="F19" s="59">
        <f>'202602'!I19</f>
        <v>8.2409999999999997</v>
      </c>
      <c r="G19" s="60">
        <f>'202603'!I19</f>
        <v>6.5609999999999999</v>
      </c>
      <c r="H19" s="60">
        <f>'202604'!I19</f>
        <v>5.0609999999999999</v>
      </c>
      <c r="I19" s="60">
        <f>'202605'!I19</f>
        <v>4.9329999999999998</v>
      </c>
      <c r="J19" s="60">
        <f>'202606'!I19</f>
        <v>5.1289999999999996</v>
      </c>
      <c r="K19" s="60">
        <f>'202607'!I19</f>
        <v>6.82</v>
      </c>
      <c r="L19" s="60">
        <f>'202608'!I19</f>
        <v>4.4320000000000004</v>
      </c>
      <c r="M19" s="59">
        <f>'202609'!I19</f>
        <v>6.15</v>
      </c>
      <c r="N19" s="59"/>
      <c r="O19" s="59"/>
      <c r="P19" s="59"/>
      <c r="Q19" s="61">
        <f t="shared" si="3"/>
        <v>9.3350000000000009</v>
      </c>
      <c r="R19" s="61">
        <f t="shared" si="0"/>
        <v>4.4320000000000004</v>
      </c>
      <c r="S19" s="61">
        <f t="shared" si="1"/>
        <v>6.2957777777777775</v>
      </c>
      <c r="T19" s="62">
        <f t="shared" si="2"/>
        <v>1.6433213910992719</v>
      </c>
    </row>
    <row r="20" spans="1:20" ht="20.100000000000001" customHeight="1" x14ac:dyDescent="0.3">
      <c r="A20" s="18">
        <v>26</v>
      </c>
      <c r="B20" s="108" t="s">
        <v>114</v>
      </c>
      <c r="C20" s="1" t="s">
        <v>42</v>
      </c>
      <c r="D20" s="33" t="s">
        <v>93</v>
      </c>
      <c r="E20" s="59">
        <f>'202601'!I20</f>
        <v>7.7530000000000001</v>
      </c>
      <c r="F20" s="59">
        <f>'202602'!I20</f>
        <v>6.8689999999999998</v>
      </c>
      <c r="G20" s="60">
        <f>'202603'!I20</f>
        <v>5.782</v>
      </c>
      <c r="H20" s="60">
        <f>'202604'!I20</f>
        <v>6.7320000000000002</v>
      </c>
      <c r="I20" s="60">
        <f>'202605'!I20</f>
        <v>2.911</v>
      </c>
      <c r="J20" s="60">
        <f>'202606'!I20</f>
        <v>1.0129999999999999</v>
      </c>
      <c r="K20" s="60">
        <f>'202607'!I20</f>
        <v>3.1110000000000002</v>
      </c>
      <c r="L20" s="60">
        <f>'202608'!I20</f>
        <v>2.4159999999999999</v>
      </c>
      <c r="M20" s="100">
        <f>'202609'!I20</f>
        <v>12.8</v>
      </c>
      <c r="N20" s="59"/>
      <c r="O20" s="59"/>
      <c r="P20" s="59"/>
      <c r="Q20" s="61">
        <f t="shared" si="3"/>
        <v>12.8</v>
      </c>
      <c r="R20" s="61">
        <f t="shared" si="0"/>
        <v>1.0129999999999999</v>
      </c>
      <c r="S20" s="61">
        <f t="shared" si="1"/>
        <v>5.4874444444444448</v>
      </c>
      <c r="T20" s="62">
        <f t="shared" si="2"/>
        <v>3.6036538093687334</v>
      </c>
    </row>
    <row r="21" spans="1:20" ht="20.100000000000001" customHeight="1" x14ac:dyDescent="0.3">
      <c r="A21" s="18">
        <v>27</v>
      </c>
      <c r="B21" s="109"/>
      <c r="C21" s="1" t="s">
        <v>18</v>
      </c>
      <c r="D21" s="33" t="s">
        <v>95</v>
      </c>
      <c r="E21" s="59">
        <f>'202601'!I21</f>
        <v>9.1579999999999995</v>
      </c>
      <c r="F21" s="59">
        <f>'202602'!I21</f>
        <v>10.138999999999999</v>
      </c>
      <c r="G21" s="60">
        <f>'202603'!I21</f>
        <v>9.0540000000000003</v>
      </c>
      <c r="H21" s="60">
        <f>'202604'!I21</f>
        <v>10.423</v>
      </c>
      <c r="I21" s="60">
        <f>'202605'!I21</f>
        <v>21.18</v>
      </c>
      <c r="J21" s="60">
        <f>'202606'!I21</f>
        <v>17.856000000000002</v>
      </c>
      <c r="K21" s="60">
        <f>'202607'!I21</f>
        <v>3.3149999999999999</v>
      </c>
      <c r="L21" s="60">
        <f>'202608'!I21</f>
        <v>3.7080000000000002</v>
      </c>
      <c r="M21" s="100">
        <f>'202609'!I21</f>
        <v>18.047000000000001</v>
      </c>
      <c r="N21" s="59"/>
      <c r="O21" s="59"/>
      <c r="P21" s="59"/>
      <c r="Q21" s="61">
        <f t="shared" si="3"/>
        <v>21.18</v>
      </c>
      <c r="R21" s="61">
        <f t="shared" si="0"/>
        <v>3.3149999999999999</v>
      </c>
      <c r="S21" s="61">
        <f t="shared" si="1"/>
        <v>11.431111111111111</v>
      </c>
      <c r="T21" s="62">
        <f t="shared" si="2"/>
        <v>6.3157665101799934</v>
      </c>
    </row>
    <row r="22" spans="1:20" ht="20.100000000000001" customHeight="1" x14ac:dyDescent="0.3">
      <c r="A22" s="18">
        <v>28</v>
      </c>
      <c r="B22" s="109"/>
      <c r="C22" s="1" t="s">
        <v>19</v>
      </c>
      <c r="D22" s="33" t="s">
        <v>94</v>
      </c>
      <c r="E22" s="59">
        <f>'202601'!I22</f>
        <v>9.06</v>
      </c>
      <c r="F22" s="59">
        <f>'202602'!I22</f>
        <v>7.9939999999999998</v>
      </c>
      <c r="G22" s="60">
        <f>'202603'!I22</f>
        <v>6.9909999999999997</v>
      </c>
      <c r="H22" s="60">
        <f>'202604'!I22</f>
        <v>7.0940000000000003</v>
      </c>
      <c r="I22" s="60">
        <f>'202605'!I22</f>
        <v>6.2779999999999996</v>
      </c>
      <c r="J22" s="60">
        <f>'202606'!I22</f>
        <v>4.0529999999999999</v>
      </c>
      <c r="K22" s="60">
        <f>'202607'!I22</f>
        <v>4.5949999999999998</v>
      </c>
      <c r="L22" s="60">
        <f>'202608'!I22</f>
        <v>5.077</v>
      </c>
      <c r="M22" s="59">
        <f>'202609'!I22</f>
        <v>2.1419999999999999</v>
      </c>
      <c r="N22" s="59"/>
      <c r="O22" s="59"/>
      <c r="P22" s="59"/>
      <c r="Q22" s="61">
        <f>MAX(E22:P22)</f>
        <v>9.06</v>
      </c>
      <c r="R22" s="61">
        <f t="shared" si="0"/>
        <v>2.1419999999999999</v>
      </c>
      <c r="S22" s="61">
        <f t="shared" si="1"/>
        <v>5.9204444444444446</v>
      </c>
      <c r="T22" s="62">
        <f t="shared" si="2"/>
        <v>2.15173773443182</v>
      </c>
    </row>
    <row r="23" spans="1:20" ht="20.100000000000001" customHeight="1" x14ac:dyDescent="0.3">
      <c r="A23" s="18">
        <v>29</v>
      </c>
      <c r="B23" s="109"/>
      <c r="C23" s="1" t="s">
        <v>63</v>
      </c>
      <c r="D23" s="33" t="s">
        <v>59</v>
      </c>
      <c r="E23" s="59">
        <f>'202601'!I23</f>
        <v>9.9120000000000008</v>
      </c>
      <c r="F23" s="59">
        <f>'202602'!I23</f>
        <v>9.4619999999999997</v>
      </c>
      <c r="G23" s="60">
        <f>'202603'!I23</f>
        <v>7.2949999999999999</v>
      </c>
      <c r="H23" s="60">
        <f>'202604'!I23</f>
        <v>7.2759999999999998</v>
      </c>
      <c r="I23" s="60">
        <f>'202605'!I23</f>
        <v>6.173</v>
      </c>
      <c r="J23" s="60">
        <f>'202606'!I23</f>
        <v>4.9160000000000004</v>
      </c>
      <c r="K23" s="60">
        <f>'202607'!I23</f>
        <v>4.8220000000000001</v>
      </c>
      <c r="L23" s="60">
        <f>'202608'!I23</f>
        <v>4.4279999999999999</v>
      </c>
      <c r="M23" s="59">
        <f>'202609'!I23</f>
        <v>1.9990000000000001</v>
      </c>
      <c r="N23" s="59"/>
      <c r="O23" s="59"/>
      <c r="P23" s="59"/>
      <c r="Q23" s="61">
        <f t="shared" si="3"/>
        <v>9.9120000000000008</v>
      </c>
      <c r="R23" s="61">
        <f t="shared" si="0"/>
        <v>1.9990000000000001</v>
      </c>
      <c r="S23" s="61">
        <f t="shared" si="1"/>
        <v>6.2536666666666676</v>
      </c>
      <c r="T23" s="62">
        <f t="shared" si="2"/>
        <v>2.5270319052200327</v>
      </c>
    </row>
    <row r="24" spans="1:20" ht="20.100000000000001" customHeight="1" x14ac:dyDescent="0.3">
      <c r="A24" s="18">
        <v>30</v>
      </c>
      <c r="B24" s="109"/>
      <c r="C24" s="1" t="s">
        <v>87</v>
      </c>
      <c r="D24" s="33" t="s">
        <v>88</v>
      </c>
      <c r="E24" s="59">
        <f>'202601'!I24</f>
        <v>8.6739999999999995</v>
      </c>
      <c r="F24" s="59">
        <f>'202602'!I24</f>
        <v>8.0440000000000005</v>
      </c>
      <c r="G24" s="60">
        <f>'202603'!I24</f>
        <v>7.0010000000000003</v>
      </c>
      <c r="H24" s="60">
        <f>'202604'!I24</f>
        <v>6.3209999999999997</v>
      </c>
      <c r="I24" s="60">
        <f>'202605'!I24</f>
        <v>4.8899999999999997</v>
      </c>
      <c r="J24" s="60">
        <f>'202606'!I24</f>
        <v>1.5489999999999999</v>
      </c>
      <c r="K24" s="60">
        <f>'202607'!I24</f>
        <v>4.13</v>
      </c>
      <c r="L24" s="60">
        <f>'202608'!I24</f>
        <v>4.7350000000000003</v>
      </c>
      <c r="M24" s="59">
        <f>'202609'!I24</f>
        <v>7.0350000000000001</v>
      </c>
      <c r="N24" s="59"/>
      <c r="O24" s="59"/>
      <c r="P24" s="59"/>
      <c r="Q24" s="61">
        <f t="shared" si="3"/>
        <v>8.6739999999999995</v>
      </c>
      <c r="R24" s="61">
        <f t="shared" si="0"/>
        <v>1.5489999999999999</v>
      </c>
      <c r="S24" s="61">
        <f t="shared" si="1"/>
        <v>5.8198888888888893</v>
      </c>
      <c r="T24" s="62">
        <f t="shared" si="2"/>
        <v>2.217914135198003</v>
      </c>
    </row>
    <row r="25" spans="1:20" ht="20.100000000000001" customHeight="1" x14ac:dyDescent="0.3">
      <c r="A25" s="18">
        <v>31</v>
      </c>
      <c r="B25" s="109"/>
      <c r="C25" s="1" t="s">
        <v>20</v>
      </c>
      <c r="D25" s="33" t="s">
        <v>60</v>
      </c>
      <c r="E25" s="59">
        <f>'202601'!I25</f>
        <v>8.5470000000000006</v>
      </c>
      <c r="F25" s="59">
        <f>'202602'!I25</f>
        <v>8.1300000000000008</v>
      </c>
      <c r="G25" s="60">
        <f>'202603'!I25</f>
        <v>7.141</v>
      </c>
      <c r="H25" s="60">
        <f>'202604'!I25</f>
        <v>6.3019999999999996</v>
      </c>
      <c r="I25" s="60">
        <f>'202605'!I25</f>
        <v>5.2889999999999997</v>
      </c>
      <c r="J25" s="60">
        <f>'202606'!I25</f>
        <v>3.1160000000000001</v>
      </c>
      <c r="K25" s="60">
        <f>'202607'!I25</f>
        <v>4.093</v>
      </c>
      <c r="L25" s="60">
        <f>'202608'!I25</f>
        <v>5.0380000000000003</v>
      </c>
      <c r="M25" s="59">
        <f>'202609'!I25</f>
        <v>1.538</v>
      </c>
      <c r="N25" s="59"/>
      <c r="O25" s="59"/>
      <c r="P25" s="59"/>
      <c r="Q25" s="61">
        <f t="shared" si="3"/>
        <v>8.5470000000000006</v>
      </c>
      <c r="R25" s="61">
        <f t="shared" si="0"/>
        <v>1.538</v>
      </c>
      <c r="S25" s="61">
        <f t="shared" si="1"/>
        <v>5.4659999999999984</v>
      </c>
      <c r="T25" s="62">
        <f t="shared" si="2"/>
        <v>2.3223184536148387</v>
      </c>
    </row>
    <row r="26" spans="1:20" ht="16.5" customHeight="1" x14ac:dyDescent="0.3">
      <c r="A26" s="18">
        <v>32</v>
      </c>
      <c r="B26" s="109"/>
      <c r="C26" s="1" t="s">
        <v>21</v>
      </c>
      <c r="D26" s="33" t="s">
        <v>91</v>
      </c>
      <c r="E26" s="59">
        <f>'202601'!I26</f>
        <v>8.7880000000000003</v>
      </c>
      <c r="F26" s="59">
        <f>'202602'!I26</f>
        <v>9.3260000000000005</v>
      </c>
      <c r="G26" s="60">
        <f>'202603'!I26</f>
        <v>8.2569999999999997</v>
      </c>
      <c r="H26" s="60">
        <f>'202604'!I26</f>
        <v>6.359</v>
      </c>
      <c r="I26" s="60">
        <f>'202605'!I26</f>
        <v>4.8979999999999997</v>
      </c>
      <c r="J26" s="60">
        <f>'202606'!I26</f>
        <v>4.766</v>
      </c>
      <c r="K26" s="60">
        <f>'202607'!I26</f>
        <v>4.2519999999999998</v>
      </c>
      <c r="L26" s="60">
        <f>'202608'!I26</f>
        <v>3.4929999999999999</v>
      </c>
      <c r="M26" s="59">
        <f>'202609'!I26</f>
        <v>4.782</v>
      </c>
      <c r="N26" s="59"/>
      <c r="O26" s="59"/>
      <c r="P26" s="59"/>
      <c r="Q26" s="61">
        <f t="shared" si="3"/>
        <v>9.3260000000000005</v>
      </c>
      <c r="R26" s="61">
        <f t="shared" si="0"/>
        <v>3.4929999999999999</v>
      </c>
      <c r="S26" s="61">
        <f t="shared" si="1"/>
        <v>6.1023333333333341</v>
      </c>
      <c r="T26" s="62">
        <f t="shared" si="2"/>
        <v>2.1657890594423046</v>
      </c>
    </row>
    <row r="27" spans="1:20" ht="20.100000000000001" customHeight="1" x14ac:dyDescent="0.3">
      <c r="A27" s="18">
        <v>33</v>
      </c>
      <c r="B27" s="109"/>
      <c r="C27" s="1" t="s">
        <v>22</v>
      </c>
      <c r="D27" s="33" t="s">
        <v>61</v>
      </c>
      <c r="E27" s="59">
        <f>'202601'!I27</f>
        <v>11.069000000000001</v>
      </c>
      <c r="F27" s="59">
        <f>'202602'!I27</f>
        <v>12.374000000000001</v>
      </c>
      <c r="G27" s="60">
        <f>'202603'!I27</f>
        <v>10.286</v>
      </c>
      <c r="H27" s="60">
        <f>'202604'!I27</f>
        <v>9.2850000000000001</v>
      </c>
      <c r="I27" s="60">
        <f>'202605'!I27</f>
        <v>8.2680000000000007</v>
      </c>
      <c r="J27" s="60">
        <f>'202606'!I27</f>
        <v>6.28</v>
      </c>
      <c r="K27" s="60">
        <f>'202607'!I27</f>
        <v>5.6189999999999998</v>
      </c>
      <c r="L27" s="60">
        <f>'202608'!I27</f>
        <v>4.1879999999999997</v>
      </c>
      <c r="M27" s="59">
        <f>'202609'!I27</f>
        <v>4.1879999999999997</v>
      </c>
      <c r="N27" s="59"/>
      <c r="O27" s="59"/>
      <c r="P27" s="59"/>
      <c r="Q27" s="61">
        <f t="shared" si="3"/>
        <v>12.374000000000001</v>
      </c>
      <c r="R27" s="59">
        <f t="shared" si="0"/>
        <v>4.1879999999999997</v>
      </c>
      <c r="S27" s="63">
        <f>AVERAGE(E27:P27)</f>
        <v>7.9507777777777777</v>
      </c>
      <c r="T27" s="62">
        <f t="shared" si="2"/>
        <v>3.0242339020724653</v>
      </c>
    </row>
    <row r="28" spans="1:20" ht="20.100000000000001" customHeight="1" x14ac:dyDescent="0.3">
      <c r="A28" s="18">
        <v>34</v>
      </c>
      <c r="B28" s="109"/>
      <c r="C28" s="1" t="s">
        <v>23</v>
      </c>
      <c r="D28" s="33" t="s">
        <v>24</v>
      </c>
      <c r="E28" s="59">
        <f>'202601'!I28</f>
        <v>11.298999999999999</v>
      </c>
      <c r="F28" s="59">
        <f>'202602'!I28</f>
        <v>15.388999999999999</v>
      </c>
      <c r="G28" s="60">
        <f>'202603'!I28</f>
        <v>7.0810000000000004</v>
      </c>
      <c r="H28" s="60">
        <f>'202604'!I28</f>
        <v>8.1059999999999999</v>
      </c>
      <c r="I28" s="60">
        <f>'202605'!I28</f>
        <v>6.6440000000000001</v>
      </c>
      <c r="J28" s="60">
        <f>'202606'!I28</f>
        <v>6.38</v>
      </c>
      <c r="K28" s="60">
        <f>'202607'!I28</f>
        <v>4.93</v>
      </c>
      <c r="L28" s="60">
        <f>'202608'!I28</f>
        <v>4.1689999999999996</v>
      </c>
      <c r="M28" s="59">
        <f>'202609'!I28</f>
        <v>4.1689999999999996</v>
      </c>
      <c r="N28" s="59"/>
      <c r="O28" s="59"/>
      <c r="P28" s="59"/>
      <c r="Q28" s="61">
        <f t="shared" si="3"/>
        <v>15.388999999999999</v>
      </c>
      <c r="R28" s="61">
        <f t="shared" si="0"/>
        <v>4.1689999999999996</v>
      </c>
      <c r="S28" s="63">
        <f>AVERAGE(E28:P28)</f>
        <v>7.5741111111111117</v>
      </c>
      <c r="T28" s="62">
        <f t="shared" si="2"/>
        <v>3.6733030927369823</v>
      </c>
    </row>
    <row r="29" spans="1:20" ht="20.100000000000001" customHeight="1" x14ac:dyDescent="0.3">
      <c r="A29" s="18">
        <v>35</v>
      </c>
      <c r="B29" s="109"/>
      <c r="C29" s="1" t="s">
        <v>64</v>
      </c>
      <c r="D29" s="33" t="s">
        <v>89</v>
      </c>
      <c r="E29" s="59">
        <f>'202601'!I29</f>
        <v>11.962999999999999</v>
      </c>
      <c r="F29" s="59">
        <f>'202602'!I29</f>
        <v>13.372999999999999</v>
      </c>
      <c r="G29" s="60">
        <f>'202603'!I29</f>
        <v>8.5389999999999997</v>
      </c>
      <c r="H29" s="60">
        <f>'202604'!I29</f>
        <v>8.8109999999999999</v>
      </c>
      <c r="I29" s="60">
        <f>'202605'!I29</f>
        <v>7.2140000000000004</v>
      </c>
      <c r="J29" s="60">
        <f>'202606'!I29</f>
        <v>6.8419999999999996</v>
      </c>
      <c r="K29" s="60">
        <f>'202607'!I29</f>
        <v>5.4180000000000001</v>
      </c>
      <c r="L29" s="60">
        <f>'202608'!I29</f>
        <v>4.8710000000000004</v>
      </c>
      <c r="M29" s="59">
        <f>'202609'!I29</f>
        <v>4.8710000000000004</v>
      </c>
      <c r="N29" s="59"/>
      <c r="O29" s="59"/>
      <c r="P29" s="59"/>
      <c r="Q29" s="61">
        <f t="shared" si="3"/>
        <v>13.372999999999999</v>
      </c>
      <c r="R29" s="61">
        <f t="shared" si="0"/>
        <v>4.8710000000000004</v>
      </c>
      <c r="S29" s="61">
        <f>AVERAGE(E29:P29)</f>
        <v>7.9891111111111099</v>
      </c>
      <c r="T29" s="62">
        <f t="shared" si="2"/>
        <v>3.0357955894808066</v>
      </c>
    </row>
    <row r="30" spans="1:20" ht="20.100000000000001" customHeight="1" x14ac:dyDescent="0.3">
      <c r="A30" s="18">
        <v>36</v>
      </c>
      <c r="B30" s="109"/>
      <c r="C30" s="1" t="s">
        <v>27</v>
      </c>
      <c r="D30" s="33" t="s">
        <v>62</v>
      </c>
      <c r="E30" s="59">
        <f>'202601'!I30</f>
        <v>10.145</v>
      </c>
      <c r="F30" s="59">
        <f>'202602'!I30</f>
        <v>14.195</v>
      </c>
      <c r="G30" s="60">
        <f>'202603'!I30</f>
        <v>11.012</v>
      </c>
      <c r="H30" s="60">
        <f>'202604'!I30</f>
        <v>10.175000000000001</v>
      </c>
      <c r="I30" s="60">
        <f>'202605'!I30</f>
        <v>8.3870000000000005</v>
      </c>
      <c r="J30" s="60">
        <f>'202606'!I30</f>
        <v>7.4729999999999999</v>
      </c>
      <c r="K30" s="60">
        <f>'202607'!I30</f>
        <v>4.9870000000000001</v>
      </c>
      <c r="L30" s="60">
        <f>'202608'!I30</f>
        <v>4.6779999999999999</v>
      </c>
      <c r="M30" s="59">
        <f>'202609'!I30</f>
        <v>4.6779999999999999</v>
      </c>
      <c r="N30" s="59"/>
      <c r="O30" s="59"/>
      <c r="P30" s="59"/>
      <c r="Q30" s="61">
        <f t="shared" si="3"/>
        <v>14.195</v>
      </c>
      <c r="R30" s="61">
        <f t="shared" si="0"/>
        <v>4.6779999999999999</v>
      </c>
      <c r="S30" s="61">
        <f t="shared" si="1"/>
        <v>8.4144444444444435</v>
      </c>
      <c r="T30" s="62">
        <f t="shared" si="2"/>
        <v>3.2941800235836851</v>
      </c>
    </row>
    <row r="31" spans="1:20" s="20" customFormat="1" ht="20.100000000000001" customHeight="1" x14ac:dyDescent="0.3">
      <c r="A31" s="18">
        <v>37</v>
      </c>
      <c r="B31" s="109"/>
      <c r="C31" s="1" t="s">
        <v>25</v>
      </c>
      <c r="D31" s="33" t="s">
        <v>26</v>
      </c>
      <c r="E31" s="59">
        <f>'202601'!I31</f>
        <v>10.207000000000001</v>
      </c>
      <c r="F31" s="59">
        <f>'202602'!I31</f>
        <v>13.593999999999999</v>
      </c>
      <c r="G31" s="60">
        <f>'202603'!I31</f>
        <v>10.436999999999999</v>
      </c>
      <c r="H31" s="60">
        <f>'202604'!I31</f>
        <v>9.6389999999999993</v>
      </c>
      <c r="I31" s="60">
        <f>'202605'!I31</f>
        <v>7.6879999999999997</v>
      </c>
      <c r="J31" s="60">
        <f>'202606'!I31</f>
        <v>7.0170000000000003</v>
      </c>
      <c r="K31" s="60">
        <f>'202607'!I31</f>
        <v>5.0389999999999997</v>
      </c>
      <c r="L31" s="60">
        <f>'202608'!I31</f>
        <v>4.5209999999999999</v>
      </c>
      <c r="M31" s="59">
        <f>'202609'!I31</f>
        <v>4.5209999999999999</v>
      </c>
      <c r="N31" s="59"/>
      <c r="O31" s="59"/>
      <c r="P31" s="59"/>
      <c r="Q31" s="61">
        <f t="shared" si="3"/>
        <v>13.593999999999999</v>
      </c>
      <c r="R31" s="61">
        <f t="shared" si="0"/>
        <v>4.5209999999999999</v>
      </c>
      <c r="S31" s="61">
        <f t="shared" si="1"/>
        <v>8.0736666666666661</v>
      </c>
      <c r="T31" s="62">
        <f t="shared" si="2"/>
        <v>3.1380362091601159</v>
      </c>
    </row>
    <row r="32" spans="1:20" s="20" customFormat="1" ht="20.100000000000001" customHeight="1" x14ac:dyDescent="0.3">
      <c r="A32" s="18">
        <v>38</v>
      </c>
      <c r="B32" s="110"/>
      <c r="C32" s="1" t="s">
        <v>28</v>
      </c>
      <c r="D32" s="33" t="s">
        <v>90</v>
      </c>
      <c r="E32" s="59">
        <f>'202601'!I32</f>
        <v>9.5299999999999994</v>
      </c>
      <c r="F32" s="59">
        <f>'202602'!I32</f>
        <v>13.077999999999999</v>
      </c>
      <c r="G32" s="60">
        <f>'202603'!I32</f>
        <v>10.711</v>
      </c>
      <c r="H32" s="60">
        <f>'202604'!I32</f>
        <v>8.1329999999999991</v>
      </c>
      <c r="I32" s="60">
        <f>'202605'!I32</f>
        <v>6.6820000000000004</v>
      </c>
      <c r="J32" s="60">
        <f>'202606'!I32</f>
        <v>5.7549999999999999</v>
      </c>
      <c r="K32" s="60">
        <f>'202607'!I32</f>
        <v>4.9550000000000001</v>
      </c>
      <c r="L32" s="60">
        <f>'202608'!I32</f>
        <v>3.7450000000000001</v>
      </c>
      <c r="M32" s="59">
        <f>'202609'!I32</f>
        <v>3.7450000000000001</v>
      </c>
      <c r="N32" s="59"/>
      <c r="O32" s="59"/>
      <c r="P32" s="59"/>
      <c r="Q32" s="61">
        <f t="shared" si="3"/>
        <v>13.077999999999999</v>
      </c>
      <c r="R32" s="61">
        <f t="shared" si="0"/>
        <v>3.7450000000000001</v>
      </c>
      <c r="S32" s="63">
        <f>AVERAGE(E32:P32)</f>
        <v>7.3704444444444448</v>
      </c>
      <c r="T32" s="62">
        <f t="shared" si="2"/>
        <v>3.2439627815031691</v>
      </c>
    </row>
    <row r="33" spans="1:20" ht="20.100000000000001" customHeight="1" x14ac:dyDescent="0.3">
      <c r="A33" s="18">
        <v>39</v>
      </c>
      <c r="B33" s="1" t="s">
        <v>115</v>
      </c>
      <c r="C33" s="1" t="s">
        <v>43</v>
      </c>
      <c r="D33" s="33" t="s">
        <v>30</v>
      </c>
      <c r="E33" s="59">
        <f>'202601'!I33</f>
        <v>72.337000000000003</v>
      </c>
      <c r="F33" s="59">
        <f>'202602'!I33</f>
        <v>25.173999999999999</v>
      </c>
      <c r="G33" s="60">
        <f>'202603'!I33</f>
        <v>45.866999999999997</v>
      </c>
      <c r="H33" s="100">
        <f>'202604'!I33</f>
        <v>152.947</v>
      </c>
      <c r="I33" s="100">
        <f>'202605'!I33</f>
        <v>112.056</v>
      </c>
      <c r="J33" s="60">
        <f>'202606'!I33</f>
        <v>49.401000000000003</v>
      </c>
      <c r="K33" s="60">
        <f>'202607'!I33</f>
        <v>4.032</v>
      </c>
      <c r="L33" s="60">
        <f>'202608'!I33</f>
        <v>13.962</v>
      </c>
      <c r="M33" s="100">
        <f>'202609'!I33</f>
        <v>13.962</v>
      </c>
      <c r="N33" s="59"/>
      <c r="O33" s="59"/>
      <c r="P33" s="59"/>
      <c r="Q33" s="61">
        <f t="shared" si="3"/>
        <v>152.947</v>
      </c>
      <c r="R33" s="61">
        <f t="shared" si="0"/>
        <v>4.032</v>
      </c>
      <c r="S33" s="61">
        <f t="shared" si="1"/>
        <v>54.415333333333329</v>
      </c>
      <c r="T33" s="62">
        <f t="shared" si="2"/>
        <v>50.145811983654248</v>
      </c>
    </row>
    <row r="34" spans="1:20" ht="20.100000000000001" customHeight="1" x14ac:dyDescent="0.3">
      <c r="A34" s="18">
        <v>44</v>
      </c>
      <c r="B34" s="1" t="s">
        <v>116</v>
      </c>
      <c r="C34" s="1" t="s">
        <v>31</v>
      </c>
      <c r="D34" s="33" t="s">
        <v>32</v>
      </c>
      <c r="E34" s="59">
        <f>'202601'!I34</f>
        <v>9.2859999999999996</v>
      </c>
      <c r="F34" s="59">
        <f>'202602'!I34</f>
        <v>6.5170000000000003</v>
      </c>
      <c r="G34" s="60">
        <f>'202603'!I34</f>
        <v>5.5910000000000002</v>
      </c>
      <c r="H34" s="60">
        <f>'202604'!I34</f>
        <v>5.04</v>
      </c>
      <c r="I34" s="60">
        <f>'202605'!I34</f>
        <v>6.2549999999999999</v>
      </c>
      <c r="J34" s="60">
        <f>'202606'!I34</f>
        <v>2.3780000000000001</v>
      </c>
      <c r="K34" s="60">
        <f>'202607'!I34</f>
        <v>4.7370000000000001</v>
      </c>
      <c r="L34" s="60">
        <f>'202608'!I34</f>
        <v>4.4969999999999999</v>
      </c>
      <c r="M34" s="59">
        <f>'202609'!I34</f>
        <v>4.4969999999999999</v>
      </c>
      <c r="N34" s="59"/>
      <c r="O34" s="59"/>
      <c r="P34" s="59"/>
      <c r="Q34" s="61">
        <f t="shared" si="3"/>
        <v>9.2859999999999996</v>
      </c>
      <c r="R34" s="61">
        <f t="shared" si="0"/>
        <v>2.3780000000000001</v>
      </c>
      <c r="S34" s="61">
        <f>AVERAGE(E34:P34)</f>
        <v>5.4220000000000006</v>
      </c>
      <c r="T34" s="62">
        <f t="shared" si="2"/>
        <v>1.8856134943301603</v>
      </c>
    </row>
    <row r="35" spans="1:20" ht="20.100000000000001" customHeight="1" x14ac:dyDescent="0.3">
      <c r="A35" s="18">
        <v>46</v>
      </c>
      <c r="B35" s="1" t="s">
        <v>117</v>
      </c>
      <c r="C35" s="1" t="s">
        <v>103</v>
      </c>
      <c r="D35" s="33" t="s">
        <v>122</v>
      </c>
      <c r="E35" s="59">
        <f>'202601'!I35</f>
        <v>4.4180000000000001</v>
      </c>
      <c r="F35" s="59">
        <f>'202602'!I35</f>
        <v>3.4049999999999998</v>
      </c>
      <c r="G35" s="60">
        <f>'202603'!I35</f>
        <v>3.766</v>
      </c>
      <c r="H35" s="60">
        <f>'202604'!I35</f>
        <v>1.7230000000000001</v>
      </c>
      <c r="I35" s="60">
        <f>'202605'!I35</f>
        <v>1.833</v>
      </c>
      <c r="J35" s="60">
        <f>'202606'!I35</f>
        <v>1.385</v>
      </c>
      <c r="K35" s="60">
        <f>'202607'!I35</f>
        <v>2.5870000000000002</v>
      </c>
      <c r="L35" s="60">
        <f>'202608'!I35</f>
        <v>3.9750000000000001</v>
      </c>
      <c r="M35" s="59">
        <f>'202609'!I35</f>
        <v>3.9750000000000001</v>
      </c>
      <c r="N35" s="59"/>
      <c r="O35" s="59"/>
      <c r="P35" s="59"/>
      <c r="Q35" s="61">
        <f t="shared" si="3"/>
        <v>4.4180000000000001</v>
      </c>
      <c r="R35" s="61">
        <f t="shared" si="0"/>
        <v>1.385</v>
      </c>
      <c r="S35" s="61">
        <f t="shared" si="1"/>
        <v>3.0074444444444448</v>
      </c>
      <c r="T35" s="62">
        <f t="shared" si="2"/>
        <v>1.1420194953580154</v>
      </c>
    </row>
    <row r="36" spans="1:20" ht="20.100000000000001" customHeight="1" x14ac:dyDescent="0.3">
      <c r="A36" s="18">
        <v>47</v>
      </c>
      <c r="B36" s="34" t="s">
        <v>118</v>
      </c>
      <c r="C36" s="1" t="s">
        <v>104</v>
      </c>
      <c r="D36" s="33" t="s">
        <v>105</v>
      </c>
      <c r="E36" s="59">
        <f>'202601'!I36</f>
        <v>3.673</v>
      </c>
      <c r="F36" s="59">
        <f>'202602'!I36</f>
        <v>3.98</v>
      </c>
      <c r="G36" s="60">
        <f>'202603'!I36</f>
        <v>4.1379999999999999</v>
      </c>
      <c r="H36" s="60">
        <f>'202604'!I36</f>
        <v>3.3359999999999999</v>
      </c>
      <c r="I36" s="60">
        <f>'202605'!I36</f>
        <v>2.286</v>
      </c>
      <c r="J36" s="60">
        <f>'202606'!I36</f>
        <v>1.0349999999999999</v>
      </c>
      <c r="K36" s="60">
        <f>'202607'!I36</f>
        <v>3.1440000000000001</v>
      </c>
      <c r="L36" s="60">
        <f>'202608'!I36</f>
        <v>3.2789999999999999</v>
      </c>
      <c r="M36" s="59">
        <f>'202609'!I36</f>
        <v>3.2789999999999999</v>
      </c>
      <c r="N36" s="59"/>
      <c r="O36" s="59"/>
      <c r="P36" s="59"/>
      <c r="Q36" s="61">
        <f t="shared" si="3"/>
        <v>4.1379999999999999</v>
      </c>
      <c r="R36" s="61">
        <f t="shared" si="0"/>
        <v>1.0349999999999999</v>
      </c>
      <c r="S36" s="61">
        <f t="shared" si="1"/>
        <v>3.1277777777777778</v>
      </c>
      <c r="T36" s="62">
        <f t="shared" si="2"/>
        <v>0.95011601630771703</v>
      </c>
    </row>
    <row r="37" spans="1:20" ht="20.100000000000001" customHeight="1" x14ac:dyDescent="0.3">
      <c r="A37" s="18">
        <v>49</v>
      </c>
      <c r="B37" s="48" t="s">
        <v>119</v>
      </c>
      <c r="C37" s="1" t="s">
        <v>98</v>
      </c>
      <c r="D37" s="33" t="s">
        <v>99</v>
      </c>
      <c r="E37" s="59">
        <f>'202601'!I37</f>
        <v>10.98</v>
      </c>
      <c r="F37" s="59">
        <f>'202602'!I37</f>
        <v>12.12</v>
      </c>
      <c r="G37" s="60">
        <f>'202603'!I37</f>
        <v>9.4420000000000002</v>
      </c>
      <c r="H37" s="60">
        <f>'202604'!I37</f>
        <v>10.973000000000001</v>
      </c>
      <c r="I37" s="60">
        <f>'202605'!I37</f>
        <v>10.832000000000001</v>
      </c>
      <c r="J37" s="60">
        <f>'202606'!I37</f>
        <v>10.134</v>
      </c>
      <c r="K37" s="60">
        <f>'202607'!I37</f>
        <v>5.6660000000000004</v>
      </c>
      <c r="L37" s="60">
        <f>'202608'!I37</f>
        <v>8.8889999999999993</v>
      </c>
      <c r="M37" s="59">
        <f>'202609'!I37</f>
        <v>8.8889999999999993</v>
      </c>
      <c r="N37" s="59"/>
      <c r="O37" s="59"/>
      <c r="P37" s="59"/>
      <c r="Q37" s="61">
        <f t="shared" si="3"/>
        <v>12.12</v>
      </c>
      <c r="R37" s="61">
        <f t="shared" si="0"/>
        <v>5.6660000000000004</v>
      </c>
      <c r="S37" s="61">
        <f t="shared" si="1"/>
        <v>9.7694444444444422</v>
      </c>
      <c r="T37" s="62">
        <f t="shared" si="2"/>
        <v>1.8773940789769779</v>
      </c>
    </row>
    <row r="38" spans="1:20" ht="20.100000000000001" customHeight="1" x14ac:dyDescent="0.3">
      <c r="A38" s="18">
        <v>50</v>
      </c>
      <c r="B38" s="1" t="s">
        <v>120</v>
      </c>
      <c r="C38" s="1" t="s">
        <v>29</v>
      </c>
      <c r="D38" s="33" t="s">
        <v>80</v>
      </c>
      <c r="E38" s="59">
        <f>'202601'!I38</f>
        <v>4.32</v>
      </c>
      <c r="F38" s="59">
        <f>'202602'!I38</f>
        <v>3.6040000000000001</v>
      </c>
      <c r="G38" s="60">
        <f>'202603'!I38</f>
        <v>3.5659999999999998</v>
      </c>
      <c r="H38" s="60">
        <f>'202604'!I38</f>
        <v>3.0230000000000001</v>
      </c>
      <c r="I38" s="60">
        <f>'202605'!I38</f>
        <v>2.36</v>
      </c>
      <c r="J38" s="60">
        <f>'202606'!I38</f>
        <v>3.0449999999999999</v>
      </c>
      <c r="K38" s="60">
        <f>'202607'!I38</f>
        <v>2.8940000000000001</v>
      </c>
      <c r="L38" s="60">
        <f>'202608'!I38</f>
        <v>2.6190000000000002</v>
      </c>
      <c r="M38" s="59">
        <f>'202609'!I38</f>
        <v>2.6190000000000002</v>
      </c>
      <c r="N38" s="59"/>
      <c r="O38" s="59"/>
      <c r="P38" s="59"/>
      <c r="Q38" s="61">
        <f t="shared" si="3"/>
        <v>4.32</v>
      </c>
      <c r="R38" s="61">
        <f t="shared" si="0"/>
        <v>2.36</v>
      </c>
      <c r="S38" s="61">
        <f t="shared" si="1"/>
        <v>3.1166666666666663</v>
      </c>
      <c r="T38" s="62">
        <f t="shared" si="2"/>
        <v>0.61428657807248344</v>
      </c>
    </row>
    <row r="39" spans="1:20" ht="19.5" customHeight="1" x14ac:dyDescent="0.3">
      <c r="B39" s="35" t="s">
        <v>121</v>
      </c>
      <c r="C39" s="35" t="s">
        <v>37</v>
      </c>
      <c r="D39" s="33" t="s">
        <v>92</v>
      </c>
      <c r="E39" s="59">
        <f>'202601'!I39</f>
        <v>7.8760000000000003</v>
      </c>
      <c r="F39" s="59">
        <f>'202602'!I39</f>
        <v>7.968</v>
      </c>
      <c r="G39" s="60">
        <f>'202603'!I39</f>
        <v>3.5939999999999999</v>
      </c>
      <c r="H39" s="60">
        <f>'202604'!I39</f>
        <v>4.0330000000000004</v>
      </c>
      <c r="I39" s="60">
        <f>'202605'!I39</f>
        <v>8.0030000000000001</v>
      </c>
      <c r="J39" s="60">
        <f>'202606'!I39</f>
        <v>0.67800000000000005</v>
      </c>
      <c r="K39" s="60">
        <f>'202607'!I39</f>
        <v>3.8170000000000002</v>
      </c>
      <c r="L39" s="60">
        <f>'202608'!I39</f>
        <v>0.69599999999999995</v>
      </c>
      <c r="M39" s="59">
        <f>'202609'!I39</f>
        <v>0.69599999999999995</v>
      </c>
      <c r="N39" s="59"/>
      <c r="O39" s="59"/>
      <c r="P39" s="59"/>
      <c r="Q39" s="61">
        <f t="shared" si="3"/>
        <v>8.0030000000000001</v>
      </c>
      <c r="R39" s="61">
        <f t="shared" si="0"/>
        <v>0.67800000000000005</v>
      </c>
      <c r="S39" s="61">
        <f>AVERAGE(E39:P39)</f>
        <v>4.1512222222222217</v>
      </c>
      <c r="T39" s="62">
        <f t="shared" si="2"/>
        <v>3.1554422343697648</v>
      </c>
    </row>
    <row r="40" spans="1:20" ht="16.5" customHeight="1" x14ac:dyDescent="0.3">
      <c r="C40" s="17"/>
    </row>
    <row r="43" spans="1:20" x14ac:dyDescent="0.3">
      <c r="P43" s="25"/>
    </row>
  </sheetData>
  <mergeCells count="5">
    <mergeCell ref="A1:T1"/>
    <mergeCell ref="B3:B6"/>
    <mergeCell ref="B12:B16"/>
    <mergeCell ref="B17:B18"/>
    <mergeCell ref="B20:B32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7E2F-EBBC-4E10-8D17-5D4B72E88937}">
  <sheetPr>
    <tabColor theme="9" tint="0.79998168889431442"/>
  </sheetPr>
  <dimension ref="A1:W43"/>
  <sheetViews>
    <sheetView topLeftCell="B1" zoomScaleNormal="100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M16" sqref="M16"/>
    </sheetView>
  </sheetViews>
  <sheetFormatPr defaultRowHeight="14.25" x14ac:dyDescent="0.3"/>
  <cols>
    <col min="1" max="1" width="4.75" style="11" bestFit="1" customWidth="1"/>
    <col min="2" max="2" width="9.125" style="11" customWidth="1"/>
    <col min="3" max="3" width="12.25" style="11" bestFit="1" customWidth="1"/>
    <col min="4" max="4" width="44" style="17" bestFit="1" customWidth="1"/>
    <col min="5" max="5" width="8.125" style="16" customWidth="1"/>
    <col min="6" max="6" width="9.75" style="16" customWidth="1"/>
    <col min="7" max="15" width="8.125" style="16" customWidth="1"/>
    <col min="16" max="16" width="7.5" style="16" customWidth="1"/>
    <col min="17" max="17" width="8.125" style="7" customWidth="1"/>
    <col min="18" max="18" width="12.875" style="11" customWidth="1"/>
    <col min="19" max="20" width="12.875" style="17" customWidth="1"/>
    <col min="21" max="21" width="16.25" style="17" bestFit="1" customWidth="1"/>
    <col min="22" max="16384" width="9" style="17"/>
  </cols>
  <sheetData>
    <row r="1" spans="1:23" ht="35.25" customHeight="1" x14ac:dyDescent="0.3">
      <c r="A1" s="111" t="s">
        <v>130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3" ht="25.5" customHeight="1" x14ac:dyDescent="0.3">
      <c r="A2" s="13" t="s">
        <v>33</v>
      </c>
      <c r="B2" s="14" t="s">
        <v>34</v>
      </c>
      <c r="C2" s="14" t="s">
        <v>0</v>
      </c>
      <c r="D2" s="15" t="s">
        <v>1</v>
      </c>
      <c r="E2" s="47" t="s">
        <v>69</v>
      </c>
      <c r="F2" s="47" t="s">
        <v>70</v>
      </c>
      <c r="G2" s="47" t="s">
        <v>71</v>
      </c>
      <c r="H2" s="47" t="s">
        <v>72</v>
      </c>
      <c r="I2" s="47" t="s">
        <v>73</v>
      </c>
      <c r="J2" s="47" t="s">
        <v>74</v>
      </c>
      <c r="K2" s="47" t="s">
        <v>75</v>
      </c>
      <c r="L2" s="47" t="s">
        <v>68</v>
      </c>
      <c r="M2" s="47" t="s">
        <v>81</v>
      </c>
      <c r="N2" s="47" t="s">
        <v>82</v>
      </c>
      <c r="O2" s="47" t="s">
        <v>83</v>
      </c>
      <c r="P2" s="47" t="s">
        <v>84</v>
      </c>
      <c r="Q2" s="9" t="s">
        <v>78</v>
      </c>
      <c r="R2" s="12" t="s">
        <v>79</v>
      </c>
      <c r="S2" s="12" t="s">
        <v>76</v>
      </c>
      <c r="T2" s="45" t="s">
        <v>77</v>
      </c>
      <c r="U2" s="86" t="s">
        <v>250</v>
      </c>
    </row>
    <row r="3" spans="1:23" ht="20.100000000000001" customHeight="1" x14ac:dyDescent="0.3">
      <c r="A3" s="18">
        <v>2</v>
      </c>
      <c r="B3" s="108" t="s">
        <v>66</v>
      </c>
      <c r="C3" s="1" t="s">
        <v>38</v>
      </c>
      <c r="D3" s="33" t="s">
        <v>46</v>
      </c>
      <c r="E3" s="59">
        <f>'202601'!J3</f>
        <v>0.16900000000000001</v>
      </c>
      <c r="F3" s="59">
        <f>'202602'!J3</f>
        <v>7.2999999999999995E-2</v>
      </c>
      <c r="G3" s="60">
        <f>'202603'!J3</f>
        <v>3.5999999999999997E-2</v>
      </c>
      <c r="H3" s="60">
        <f>'202604'!J3</f>
        <v>3.1E-2</v>
      </c>
      <c r="I3" s="60">
        <f>'202605'!J3</f>
        <v>0.109</v>
      </c>
      <c r="J3" s="60">
        <f>'202606'!J3</f>
        <v>8.3000000000000004E-2</v>
      </c>
      <c r="K3" s="59">
        <f>'202607'!J3</f>
        <v>0.05</v>
      </c>
      <c r="L3" s="59">
        <f>'202608'!J3</f>
        <v>5.8000000000000003E-2</v>
      </c>
      <c r="M3" s="59">
        <f>'202609'!J3</f>
        <v>0.02</v>
      </c>
      <c r="N3" s="59"/>
      <c r="O3" s="59"/>
      <c r="P3" s="59"/>
      <c r="Q3" s="61">
        <f>MAX(E3:P3)</f>
        <v>0.16900000000000001</v>
      </c>
      <c r="R3" s="61">
        <f t="shared" ref="R3:R39" si="0">MIN(E3:P3)</f>
        <v>0.02</v>
      </c>
      <c r="S3" s="61">
        <f t="shared" ref="S3:S38" si="1">AVERAGE(E3:P3)</f>
        <v>6.9888888888888889E-2</v>
      </c>
      <c r="T3" s="62">
        <f t="shared" ref="T3:T39" si="2">STDEV(E3:P3)</f>
        <v>4.6396240269132909E-2</v>
      </c>
      <c r="U3" s="86" t="str">
        <f>IF(S3&lt;=0.02, "매우좋음", IF(S3&lt;=0.04, "좋음", IF(S3&lt;=0.1, "약간좋음", IF(S3&lt;=0.2, "보통", IF(S3&lt;=0.3, "약간나쁨", IF(S3&lt;=0.5, "나쁨", "매우나쁨"))))))</f>
        <v>약간좋음</v>
      </c>
    </row>
    <row r="4" spans="1:23" ht="20.100000000000001" customHeight="1" x14ac:dyDescent="0.3">
      <c r="A4" s="18">
        <v>3</v>
      </c>
      <c r="B4" s="109"/>
      <c r="C4" s="1" t="s">
        <v>8</v>
      </c>
      <c r="D4" s="33" t="s">
        <v>47</v>
      </c>
      <c r="E4" s="59">
        <f>'202601'!J4</f>
        <v>1.0999999999999999E-2</v>
      </c>
      <c r="F4" s="59">
        <f>'202602'!J4</f>
        <v>2.5000000000000001E-2</v>
      </c>
      <c r="G4" s="60">
        <f>'202603'!J4</f>
        <v>1.7999999999999999E-2</v>
      </c>
      <c r="H4" s="60">
        <f>'202604'!J4</f>
        <v>4.5999999999999999E-2</v>
      </c>
      <c r="I4" s="60">
        <f>'202605'!J4</f>
        <v>3.1E-2</v>
      </c>
      <c r="J4" s="60">
        <f>'202606'!J4</f>
        <v>4.9000000000000002E-2</v>
      </c>
      <c r="K4" s="59">
        <f>'202607'!J4</f>
        <v>4.3999999999999997E-2</v>
      </c>
      <c r="L4" s="59">
        <f>'202608'!J4</f>
        <v>0.01</v>
      </c>
      <c r="M4" s="100">
        <f>'202609'!J4</f>
        <v>8.1000000000000003E-2</v>
      </c>
      <c r="N4" s="59"/>
      <c r="O4" s="59"/>
      <c r="P4" s="59"/>
      <c r="Q4" s="61">
        <f t="shared" ref="Q4:Q39" si="3">MAX(E4:P4)</f>
        <v>8.1000000000000003E-2</v>
      </c>
      <c r="R4" s="61">
        <f t="shared" si="0"/>
        <v>0.01</v>
      </c>
      <c r="S4" s="61">
        <f t="shared" si="1"/>
        <v>3.5000000000000003E-2</v>
      </c>
      <c r="T4" s="62">
        <f t="shared" si="2"/>
        <v>2.2693611435820431E-2</v>
      </c>
      <c r="U4" s="86" t="str">
        <f t="shared" ref="U4:U39" si="4">IF(S4&lt;=0.02, "매우좋음", IF(S4&lt;=0.04, "좋음", IF(S4&lt;=0.1, "약간좋음", IF(S4&lt;=0.2, "보통", IF(S4&lt;=0.3, "약간나쁨", IF(S4&lt;=0.5, "나쁨", "매우나쁨"))))))</f>
        <v>좋음</v>
      </c>
    </row>
    <row r="5" spans="1:23" ht="20.100000000000001" customHeight="1" x14ac:dyDescent="0.3">
      <c r="A5" s="18">
        <v>4</v>
      </c>
      <c r="B5" s="109"/>
      <c r="C5" s="1" t="s">
        <v>9</v>
      </c>
      <c r="D5" s="33" t="s">
        <v>48</v>
      </c>
      <c r="E5" s="59">
        <f>'202601'!J5</f>
        <v>1.4E-2</v>
      </c>
      <c r="F5" s="59">
        <f>'202602'!J5</f>
        <v>2.7E-2</v>
      </c>
      <c r="G5" s="60">
        <f>'202603'!J5</f>
        <v>2.1000000000000001E-2</v>
      </c>
      <c r="H5" s="60">
        <f>'202604'!J5</f>
        <v>5.0999999999999997E-2</v>
      </c>
      <c r="I5" s="60">
        <f>'202605'!J5</f>
        <v>3.6999999999999998E-2</v>
      </c>
      <c r="J5" s="60">
        <f>'202606'!J5</f>
        <v>3.2000000000000001E-2</v>
      </c>
      <c r="K5" s="59">
        <f>'202607'!J5</f>
        <v>4.3999999999999997E-2</v>
      </c>
      <c r="L5" s="59">
        <f>'202608'!J5</f>
        <v>1.2E-2</v>
      </c>
      <c r="M5" s="59">
        <f>'202609'!J5</f>
        <v>7.5999999999999998E-2</v>
      </c>
      <c r="N5" s="59"/>
      <c r="O5" s="59"/>
      <c r="P5" s="59"/>
      <c r="Q5" s="61">
        <f t="shared" si="3"/>
        <v>7.5999999999999998E-2</v>
      </c>
      <c r="R5" s="61">
        <f t="shared" si="0"/>
        <v>1.2E-2</v>
      </c>
      <c r="S5" s="61">
        <f t="shared" si="1"/>
        <v>3.4888888888888886E-2</v>
      </c>
      <c r="T5" s="62">
        <f t="shared" si="2"/>
        <v>2.0189381147303922E-2</v>
      </c>
      <c r="U5" s="86" t="str">
        <f t="shared" si="4"/>
        <v>좋음</v>
      </c>
    </row>
    <row r="6" spans="1:23" ht="20.100000000000001" customHeight="1" x14ac:dyDescent="0.3">
      <c r="A6" s="18">
        <v>8</v>
      </c>
      <c r="B6" s="110"/>
      <c r="C6" s="1" t="s">
        <v>10</v>
      </c>
      <c r="D6" s="33" t="s">
        <v>97</v>
      </c>
      <c r="E6" s="59">
        <f>'202601'!J6</f>
        <v>1.9E-2</v>
      </c>
      <c r="F6" s="59">
        <f>'202602'!J6</f>
        <v>5.0999999999999997E-2</v>
      </c>
      <c r="G6" s="60">
        <f>'202603'!J6</f>
        <v>2.7E-2</v>
      </c>
      <c r="H6" s="60">
        <f>'202604'!J6</f>
        <v>6.4000000000000001E-2</v>
      </c>
      <c r="I6" s="60">
        <f>'202605'!J6</f>
        <v>4.1000000000000002E-2</v>
      </c>
      <c r="J6" s="60">
        <f>'202606'!J6</f>
        <v>4.8000000000000001E-2</v>
      </c>
      <c r="K6" s="59">
        <f>'202607'!J6</f>
        <v>4.7E-2</v>
      </c>
      <c r="L6" s="59">
        <f>'202608'!J6</f>
        <v>1.0999999999999999E-2</v>
      </c>
      <c r="M6" s="100">
        <f>'202609'!J6</f>
        <v>7.0000000000000007E-2</v>
      </c>
      <c r="N6" s="59"/>
      <c r="O6" s="59"/>
      <c r="P6" s="59"/>
      <c r="Q6" s="61">
        <f t="shared" si="3"/>
        <v>7.0000000000000007E-2</v>
      </c>
      <c r="R6" s="61">
        <f t="shared" si="0"/>
        <v>1.0999999999999999E-2</v>
      </c>
      <c r="S6" s="59">
        <f>AVERAGE(E6:P6)</f>
        <v>4.2000000000000003E-2</v>
      </c>
      <c r="T6" s="62">
        <f t="shared" si="2"/>
        <v>1.9767397400770798E-2</v>
      </c>
      <c r="U6" s="86" t="str">
        <f t="shared" si="4"/>
        <v>약간좋음</v>
      </c>
    </row>
    <row r="7" spans="1:23" ht="20.100000000000001" customHeight="1" x14ac:dyDescent="0.3">
      <c r="A7" s="18">
        <v>10</v>
      </c>
      <c r="B7" s="48" t="s">
        <v>108</v>
      </c>
      <c r="C7" s="1" t="s">
        <v>39</v>
      </c>
      <c r="D7" s="33" t="s">
        <v>49</v>
      </c>
      <c r="E7" s="59">
        <f>'202601'!J7</f>
        <v>5.5E-2</v>
      </c>
      <c r="F7" s="59">
        <f>'202602'!J7</f>
        <v>4.2999999999999997E-2</v>
      </c>
      <c r="G7" s="60">
        <f>'202603'!J7</f>
        <v>3.6999999999999998E-2</v>
      </c>
      <c r="H7" s="60">
        <f>'202604'!J7</f>
        <v>3.9E-2</v>
      </c>
      <c r="I7" s="60">
        <f>'202605'!J7</f>
        <v>0.13800000000000001</v>
      </c>
      <c r="J7" s="60">
        <f>'202606'!J7</f>
        <v>3.2000000000000001E-2</v>
      </c>
      <c r="K7" s="59">
        <f>'202607'!J7</f>
        <v>7.5999999999999998E-2</v>
      </c>
      <c r="L7" s="59">
        <f>'202608'!J7</f>
        <v>0.1</v>
      </c>
      <c r="M7" s="59">
        <f>'202609'!J7</f>
        <v>5.6000000000000001E-2</v>
      </c>
      <c r="N7" s="59"/>
      <c r="O7" s="59"/>
      <c r="P7" s="59"/>
      <c r="Q7" s="61">
        <f t="shared" si="3"/>
        <v>0.13800000000000001</v>
      </c>
      <c r="R7" s="61">
        <f t="shared" si="0"/>
        <v>3.2000000000000001E-2</v>
      </c>
      <c r="S7" s="61">
        <f t="shared" si="1"/>
        <v>6.4000000000000015E-2</v>
      </c>
      <c r="T7" s="62">
        <f t="shared" si="2"/>
        <v>3.5142566781611123E-2</v>
      </c>
      <c r="U7" s="86" t="str">
        <f t="shared" si="4"/>
        <v>약간좋음</v>
      </c>
    </row>
    <row r="8" spans="1:23" ht="20.100000000000001" customHeight="1" x14ac:dyDescent="0.3">
      <c r="A8" s="18">
        <v>11</v>
      </c>
      <c r="B8" s="41"/>
      <c r="C8" s="1" t="s">
        <v>11</v>
      </c>
      <c r="D8" s="33" t="s">
        <v>96</v>
      </c>
      <c r="E8" s="59">
        <f>'202601'!J8</f>
        <v>0.06</v>
      </c>
      <c r="F8" s="59">
        <f>'202602'!J8</f>
        <v>0.05</v>
      </c>
      <c r="G8" s="60">
        <f>'202603'!J8</f>
        <v>3.4000000000000002E-2</v>
      </c>
      <c r="H8" s="60">
        <f>'202604'!J8</f>
        <v>0.04</v>
      </c>
      <c r="I8" s="60">
        <f>'202605'!J8</f>
        <v>0.13900000000000001</v>
      </c>
      <c r="J8" s="60">
        <f>'202606'!J8</f>
        <v>8.3000000000000004E-2</v>
      </c>
      <c r="K8" s="59">
        <f>'202607'!J8</f>
        <v>7.2999999999999995E-2</v>
      </c>
      <c r="L8" s="59">
        <f>'202608'!J8</f>
        <v>9.6000000000000002E-2</v>
      </c>
      <c r="M8" s="100">
        <f>'202609'!J8</f>
        <v>0.14000000000000001</v>
      </c>
      <c r="N8" s="59"/>
      <c r="O8" s="59"/>
      <c r="P8" s="59"/>
      <c r="Q8" s="61">
        <f t="shared" si="3"/>
        <v>0.14000000000000001</v>
      </c>
      <c r="R8" s="61">
        <f t="shared" si="0"/>
        <v>3.4000000000000002E-2</v>
      </c>
      <c r="S8" s="61">
        <f t="shared" si="1"/>
        <v>7.9444444444444456E-2</v>
      </c>
      <c r="T8" s="62">
        <f t="shared" si="2"/>
        <v>3.9383089997837614E-2</v>
      </c>
      <c r="U8" s="86" t="str">
        <f t="shared" si="4"/>
        <v>약간좋음</v>
      </c>
    </row>
    <row r="9" spans="1:23" ht="20.100000000000001" customHeight="1" x14ac:dyDescent="0.3">
      <c r="A9" s="18">
        <v>12</v>
      </c>
      <c r="B9" s="42"/>
      <c r="C9" s="1" t="s">
        <v>12</v>
      </c>
      <c r="D9" s="33" t="s">
        <v>50</v>
      </c>
      <c r="E9" s="59">
        <f>'202601'!J9</f>
        <v>5.8000000000000003E-2</v>
      </c>
      <c r="F9" s="59">
        <f>'202602'!J9</f>
        <v>4.4999999999999998E-2</v>
      </c>
      <c r="G9" s="60">
        <f>'202603'!J9</f>
        <v>3.5999999999999997E-2</v>
      </c>
      <c r="H9" s="60">
        <f>'202604'!J9</f>
        <v>6.8000000000000005E-2</v>
      </c>
      <c r="I9" s="60">
        <f>'202605'!J9</f>
        <v>0.15</v>
      </c>
      <c r="J9" s="60">
        <f>'202606'!J9</f>
        <v>7.1999999999999995E-2</v>
      </c>
      <c r="K9" s="59">
        <f>'202607'!J9</f>
        <v>7.4999999999999997E-2</v>
      </c>
      <c r="L9" s="59">
        <f>'202608'!J9</f>
        <v>9.8000000000000004E-2</v>
      </c>
      <c r="M9" s="59">
        <f>'202609'!J9</f>
        <v>4.2000000000000003E-2</v>
      </c>
      <c r="N9" s="59"/>
      <c r="O9" s="59"/>
      <c r="P9" s="59"/>
      <c r="Q9" s="61">
        <f t="shared" si="3"/>
        <v>0.15</v>
      </c>
      <c r="R9" s="61">
        <f t="shared" si="0"/>
        <v>3.5999999999999997E-2</v>
      </c>
      <c r="S9" s="61">
        <f>AVERAGE(E9:P9)</f>
        <v>7.1555555555555553E-2</v>
      </c>
      <c r="T9" s="62">
        <f t="shared" si="2"/>
        <v>3.5185618905708864E-2</v>
      </c>
      <c r="U9" s="86" t="str">
        <f t="shared" si="4"/>
        <v>약간좋음</v>
      </c>
    </row>
    <row r="10" spans="1:23" ht="20.100000000000001" customHeight="1" x14ac:dyDescent="0.3">
      <c r="A10" s="18">
        <v>13</v>
      </c>
      <c r="B10" s="1" t="s">
        <v>109</v>
      </c>
      <c r="C10" s="1" t="s">
        <v>35</v>
      </c>
      <c r="D10" s="33" t="s">
        <v>51</v>
      </c>
      <c r="E10" s="59">
        <f>'202601'!J10</f>
        <v>0.03</v>
      </c>
      <c r="F10" s="59">
        <f>'202602'!J10</f>
        <v>3.7999999999999999E-2</v>
      </c>
      <c r="G10" s="60">
        <f>'202603'!J10</f>
        <v>0.05</v>
      </c>
      <c r="H10" s="60">
        <f>'202604'!J10</f>
        <v>0.253</v>
      </c>
      <c r="I10" s="60">
        <f>'202605'!J10</f>
        <v>0.04</v>
      </c>
      <c r="J10" s="60">
        <f>'202606'!J10</f>
        <v>3.4000000000000002E-2</v>
      </c>
      <c r="K10" s="59">
        <f>'202607'!J10</f>
        <v>0.05</v>
      </c>
      <c r="L10" s="59">
        <f>'202608'!J10</f>
        <v>2.8000000000000001E-2</v>
      </c>
      <c r="M10" s="59">
        <f>'202609'!J10</f>
        <v>1.7000000000000001E-2</v>
      </c>
      <c r="N10" s="59"/>
      <c r="O10" s="59"/>
      <c r="P10" s="59"/>
      <c r="Q10" s="61">
        <f t="shared" si="3"/>
        <v>0.253</v>
      </c>
      <c r="R10" s="61">
        <f t="shared" si="0"/>
        <v>1.7000000000000001E-2</v>
      </c>
      <c r="S10" s="61">
        <f t="shared" si="1"/>
        <v>5.9999999999999991E-2</v>
      </c>
      <c r="T10" s="62">
        <f t="shared" si="2"/>
        <v>7.3128311890812869E-2</v>
      </c>
      <c r="U10" s="86" t="str">
        <f t="shared" si="4"/>
        <v>약간좋음</v>
      </c>
    </row>
    <row r="11" spans="1:23" ht="20.100000000000001" customHeight="1" x14ac:dyDescent="0.3">
      <c r="A11" s="18">
        <v>14</v>
      </c>
      <c r="B11" s="1" t="s">
        <v>110</v>
      </c>
      <c r="C11" s="1" t="s">
        <v>65</v>
      </c>
      <c r="D11" s="33" t="s">
        <v>85</v>
      </c>
      <c r="E11" s="59">
        <f>'202601'!J11</f>
        <v>2.8000000000000001E-2</v>
      </c>
      <c r="F11" s="59">
        <f>'202602'!J11</f>
        <v>3.9E-2</v>
      </c>
      <c r="G11" s="60">
        <f>'202603'!J11</f>
        <v>0.05</v>
      </c>
      <c r="H11" s="60">
        <f>'202604'!J11</f>
        <v>0.253</v>
      </c>
      <c r="I11" s="60">
        <f>'202605'!J11</f>
        <v>0.04</v>
      </c>
      <c r="J11" s="60">
        <f>'202606'!J11</f>
        <v>3.5000000000000003E-2</v>
      </c>
      <c r="K11" s="59">
        <f>'202607'!J11</f>
        <v>5.1999999999999998E-2</v>
      </c>
      <c r="L11" s="59">
        <f>'202608'!J11</f>
        <v>2.7E-2</v>
      </c>
      <c r="M11" s="59">
        <f>'202609'!J11</f>
        <v>4.2000000000000003E-2</v>
      </c>
      <c r="N11" s="59"/>
      <c r="O11" s="59"/>
      <c r="P11" s="59"/>
      <c r="Q11" s="61">
        <f t="shared" si="3"/>
        <v>0.253</v>
      </c>
      <c r="R11" s="61">
        <f t="shared" si="0"/>
        <v>2.7E-2</v>
      </c>
      <c r="S11" s="61">
        <f t="shared" si="1"/>
        <v>6.2888888888888883E-2</v>
      </c>
      <c r="T11" s="62">
        <f t="shared" si="2"/>
        <v>7.1799102439453324E-2</v>
      </c>
      <c r="U11" s="86" t="str">
        <f t="shared" si="4"/>
        <v>약간좋음</v>
      </c>
      <c r="W11" s="17">
        <v>1</v>
      </c>
    </row>
    <row r="12" spans="1:23" ht="20.100000000000001" customHeight="1" x14ac:dyDescent="0.3">
      <c r="A12" s="18">
        <v>17</v>
      </c>
      <c r="B12" s="108" t="s">
        <v>111</v>
      </c>
      <c r="C12" s="1" t="s">
        <v>40</v>
      </c>
      <c r="D12" s="33" t="s">
        <v>52</v>
      </c>
      <c r="E12" s="59">
        <f>'202601'!J12</f>
        <v>8.5999999999999993E-2</v>
      </c>
      <c r="F12" s="59">
        <f>'202602'!J12</f>
        <v>4.7E-2</v>
      </c>
      <c r="G12" s="60">
        <f>'202603'!J12</f>
        <v>2.1000000000000001E-2</v>
      </c>
      <c r="H12" s="60">
        <f>'202604'!J12</f>
        <v>3.9E-2</v>
      </c>
      <c r="I12" s="60">
        <f>'202605'!J12</f>
        <v>3.7999999999999999E-2</v>
      </c>
      <c r="J12" s="60">
        <f>'202606'!J12</f>
        <v>8.1000000000000003E-2</v>
      </c>
      <c r="K12" s="59">
        <f>'202607'!J12</f>
        <v>6.4000000000000001E-2</v>
      </c>
      <c r="L12" s="59">
        <f>'202608'!J12</f>
        <v>9.8000000000000004E-2</v>
      </c>
      <c r="M12" s="59">
        <f>'202609'!J12</f>
        <v>4.2999999999999997E-2</v>
      </c>
      <c r="N12" s="59"/>
      <c r="O12" s="59"/>
      <c r="P12" s="59"/>
      <c r="Q12" s="61">
        <f t="shared" si="3"/>
        <v>9.8000000000000004E-2</v>
      </c>
      <c r="R12" s="61">
        <f t="shared" si="0"/>
        <v>2.1000000000000001E-2</v>
      </c>
      <c r="S12" s="61">
        <f t="shared" si="1"/>
        <v>5.7444444444444444E-2</v>
      </c>
      <c r="T12" s="62">
        <f t="shared" si="2"/>
        <v>2.6034165586355493E-2</v>
      </c>
      <c r="U12" s="86" t="str">
        <f t="shared" si="4"/>
        <v>약간좋음</v>
      </c>
    </row>
    <row r="13" spans="1:23" ht="20.100000000000001" customHeight="1" x14ac:dyDescent="0.3">
      <c r="A13" s="18">
        <v>18</v>
      </c>
      <c r="B13" s="109"/>
      <c r="C13" s="1" t="s">
        <v>13</v>
      </c>
      <c r="D13" s="33" t="s">
        <v>53</v>
      </c>
      <c r="E13" s="59">
        <f>'202601'!J13</f>
        <v>8.7999999999999995E-2</v>
      </c>
      <c r="F13" s="59">
        <f>'202602'!J13</f>
        <v>4.3999999999999997E-2</v>
      </c>
      <c r="G13" s="60">
        <f>'202603'!J13</f>
        <v>2.1999999999999999E-2</v>
      </c>
      <c r="H13" s="60">
        <f>'202604'!J13</f>
        <v>3.3000000000000002E-2</v>
      </c>
      <c r="I13" s="60">
        <f>'202605'!J13</f>
        <v>4.1000000000000002E-2</v>
      </c>
      <c r="J13" s="60">
        <f>'202606'!J13</f>
        <v>8.3000000000000004E-2</v>
      </c>
      <c r="K13" s="59">
        <f>'202607'!J13</f>
        <v>6.4000000000000001E-2</v>
      </c>
      <c r="L13" s="59">
        <f>'202608'!J13</f>
        <v>5.5E-2</v>
      </c>
      <c r="M13" s="59">
        <f>'202609'!J13</f>
        <v>8.1000000000000003E-2</v>
      </c>
      <c r="N13" s="59"/>
      <c r="O13" s="59"/>
      <c r="P13" s="59"/>
      <c r="Q13" s="61">
        <f t="shared" si="3"/>
        <v>8.7999999999999995E-2</v>
      </c>
      <c r="R13" s="61">
        <f t="shared" si="0"/>
        <v>2.1999999999999999E-2</v>
      </c>
      <c r="S13" s="61">
        <f t="shared" si="1"/>
        <v>5.6777777777777781E-2</v>
      </c>
      <c r="T13" s="62">
        <f t="shared" si="2"/>
        <v>2.369481893673055E-2</v>
      </c>
      <c r="U13" s="86" t="str">
        <f t="shared" si="4"/>
        <v>약간좋음</v>
      </c>
    </row>
    <row r="14" spans="1:23" ht="20.100000000000001" customHeight="1" x14ac:dyDescent="0.3">
      <c r="A14" s="18">
        <v>20</v>
      </c>
      <c r="B14" s="109"/>
      <c r="C14" s="1" t="s">
        <v>14</v>
      </c>
      <c r="D14" s="33" t="s">
        <v>54</v>
      </c>
      <c r="E14" s="59">
        <f>'202601'!J14</f>
        <v>8.4000000000000005E-2</v>
      </c>
      <c r="F14" s="59">
        <f>'202602'!J14</f>
        <v>4.2000000000000003E-2</v>
      </c>
      <c r="G14" s="60">
        <f>'202603'!J14</f>
        <v>3.5000000000000003E-2</v>
      </c>
      <c r="H14" s="60">
        <f>'202604'!J14</f>
        <v>3.4000000000000002E-2</v>
      </c>
      <c r="I14" s="60">
        <f>'202605'!J14</f>
        <v>0.04</v>
      </c>
      <c r="J14" s="60">
        <f>'202606'!J14</f>
        <v>0.04</v>
      </c>
      <c r="K14" s="59">
        <f>'202607'!J14</f>
        <v>3.9E-2</v>
      </c>
      <c r="L14" s="59">
        <f>'202608'!J14</f>
        <v>5.7000000000000002E-2</v>
      </c>
      <c r="M14" s="100">
        <f>'202609'!J14</f>
        <v>9.9000000000000005E-2</v>
      </c>
      <c r="N14" s="59"/>
      <c r="O14" s="59"/>
      <c r="P14" s="59"/>
      <c r="Q14" s="61">
        <f t="shared" si="3"/>
        <v>9.9000000000000005E-2</v>
      </c>
      <c r="R14" s="61">
        <f t="shared" si="0"/>
        <v>3.4000000000000002E-2</v>
      </c>
      <c r="S14" s="61">
        <f t="shared" si="1"/>
        <v>5.2222222222222218E-2</v>
      </c>
      <c r="T14" s="62">
        <f t="shared" si="2"/>
        <v>2.3525399984791879E-2</v>
      </c>
      <c r="U14" s="86" t="str">
        <f t="shared" si="4"/>
        <v>약간좋음</v>
      </c>
    </row>
    <row r="15" spans="1:23" ht="20.100000000000001" customHeight="1" x14ac:dyDescent="0.3">
      <c r="A15" s="18">
        <v>21</v>
      </c>
      <c r="B15" s="109"/>
      <c r="C15" s="1" t="s">
        <v>15</v>
      </c>
      <c r="D15" s="33" t="s">
        <v>55</v>
      </c>
      <c r="E15" s="59">
        <f>'202601'!J15</f>
        <v>8.5000000000000006E-2</v>
      </c>
      <c r="F15" s="59">
        <f>'202602'!J15</f>
        <v>4.2000000000000003E-2</v>
      </c>
      <c r="G15" s="60">
        <f>'202603'!J15</f>
        <v>2.1000000000000001E-2</v>
      </c>
      <c r="H15" s="60">
        <f>'202604'!J15</f>
        <v>3.5000000000000003E-2</v>
      </c>
      <c r="I15" s="60">
        <f>'202605'!J15</f>
        <v>0.04</v>
      </c>
      <c r="J15" s="60">
        <f>'202606'!J15</f>
        <v>3.5000000000000003E-2</v>
      </c>
      <c r="K15" s="59">
        <f>'202607'!J15</f>
        <v>3.9E-2</v>
      </c>
      <c r="L15" s="59">
        <f>'202608'!J15</f>
        <v>2.5000000000000001E-2</v>
      </c>
      <c r="M15" s="59">
        <f>'202609'!J15</f>
        <v>7.8E-2</v>
      </c>
      <c r="N15" s="59"/>
      <c r="O15" s="59"/>
      <c r="P15" s="59"/>
      <c r="Q15" s="61">
        <f t="shared" si="3"/>
        <v>8.5000000000000006E-2</v>
      </c>
      <c r="R15" s="61">
        <f t="shared" si="0"/>
        <v>2.1000000000000001E-2</v>
      </c>
      <c r="S15" s="61">
        <f t="shared" si="1"/>
        <v>4.4444444444444446E-2</v>
      </c>
      <c r="T15" s="62">
        <f t="shared" si="2"/>
        <v>2.2170425746425752E-2</v>
      </c>
      <c r="U15" s="86" t="str">
        <f t="shared" si="4"/>
        <v>약간좋음</v>
      </c>
    </row>
    <row r="16" spans="1:23" ht="20.100000000000001" customHeight="1" x14ac:dyDescent="0.3">
      <c r="A16" s="18">
        <v>22</v>
      </c>
      <c r="B16" s="110"/>
      <c r="C16" s="1" t="s">
        <v>16</v>
      </c>
      <c r="D16" s="33" t="s">
        <v>86</v>
      </c>
      <c r="E16" s="59">
        <f>'202601'!J16</f>
        <v>8.5000000000000006E-2</v>
      </c>
      <c r="F16" s="59">
        <f>'202602'!J16</f>
        <v>4.5999999999999999E-2</v>
      </c>
      <c r="G16" s="60">
        <f>'202603'!J16</f>
        <v>3.1E-2</v>
      </c>
      <c r="H16" s="60">
        <f>'202604'!J16</f>
        <v>3.5999999999999997E-2</v>
      </c>
      <c r="I16" s="60">
        <f>'202605'!J16</f>
        <v>0.10199999999999999</v>
      </c>
      <c r="J16" s="60">
        <f>'202606'!J16</f>
        <v>0.03</v>
      </c>
      <c r="K16" s="59">
        <f>'202607'!J16</f>
        <v>3.9E-2</v>
      </c>
      <c r="L16" s="59">
        <f>'202608'!J16</f>
        <v>2.5000000000000001E-2</v>
      </c>
      <c r="M16" s="100">
        <f>'202609'!J16</f>
        <v>0.114</v>
      </c>
      <c r="N16" s="59"/>
      <c r="O16" s="59"/>
      <c r="P16" s="59"/>
      <c r="Q16" s="61">
        <f t="shared" si="3"/>
        <v>0.114</v>
      </c>
      <c r="R16" s="61">
        <f t="shared" si="0"/>
        <v>2.5000000000000001E-2</v>
      </c>
      <c r="S16" s="63">
        <f>AVERAGE(E16:P16)</f>
        <v>5.6444444444444443E-2</v>
      </c>
      <c r="T16" s="62">
        <f t="shared" si="2"/>
        <v>3.4223935743537423E-2</v>
      </c>
      <c r="U16" s="86" t="str">
        <f t="shared" si="4"/>
        <v>약간좋음</v>
      </c>
    </row>
    <row r="17" spans="1:21" ht="20.100000000000001" customHeight="1" x14ac:dyDescent="0.3">
      <c r="A17" s="18">
        <v>23</v>
      </c>
      <c r="B17" s="108" t="s">
        <v>112</v>
      </c>
      <c r="C17" s="1" t="s">
        <v>41</v>
      </c>
      <c r="D17" s="33" t="s">
        <v>56</v>
      </c>
      <c r="E17" s="59">
        <f>'202601'!J17</f>
        <v>3.7999999999999999E-2</v>
      </c>
      <c r="F17" s="59">
        <f>'202602'!J17</f>
        <v>5.8999999999999997E-2</v>
      </c>
      <c r="G17" s="60">
        <f>'202603'!J17</f>
        <v>8.7999999999999995E-2</v>
      </c>
      <c r="H17" s="60">
        <f>'202604'!J17</f>
        <v>6.9000000000000006E-2</v>
      </c>
      <c r="I17" s="60">
        <f>'202605'!J17</f>
        <v>5.7000000000000002E-2</v>
      </c>
      <c r="J17" s="60">
        <f>'202606'!J17</f>
        <v>0.08</v>
      </c>
      <c r="K17" s="59">
        <f>'202607'!J17</f>
        <v>0.121</v>
      </c>
      <c r="L17" s="59">
        <f>'202608'!J17</f>
        <v>0.82099999999999995</v>
      </c>
      <c r="M17" s="59">
        <f>'202609'!J17</f>
        <v>8.4000000000000005E-2</v>
      </c>
      <c r="N17" s="59"/>
      <c r="O17" s="59"/>
      <c r="P17" s="59"/>
      <c r="Q17" s="61">
        <f t="shared" si="3"/>
        <v>0.82099999999999995</v>
      </c>
      <c r="R17" s="61">
        <f t="shared" si="0"/>
        <v>3.7999999999999999E-2</v>
      </c>
      <c r="S17" s="61">
        <f t="shared" si="1"/>
        <v>0.15744444444444444</v>
      </c>
      <c r="T17" s="62">
        <f t="shared" si="2"/>
        <v>0.24992954562791841</v>
      </c>
      <c r="U17" s="86" t="str">
        <f t="shared" si="4"/>
        <v>보통</v>
      </c>
    </row>
    <row r="18" spans="1:21" ht="20.100000000000001" customHeight="1" x14ac:dyDescent="0.3">
      <c r="A18" s="18">
        <v>24</v>
      </c>
      <c r="B18" s="110"/>
      <c r="C18" s="1" t="s">
        <v>17</v>
      </c>
      <c r="D18" s="33" t="s">
        <v>57</v>
      </c>
      <c r="E18" s="59">
        <f>'202601'!J18</f>
        <v>3.4000000000000002E-2</v>
      </c>
      <c r="F18" s="59">
        <f>'202602'!J18</f>
        <v>0.06</v>
      </c>
      <c r="G18" s="60">
        <f>'202603'!J18</f>
        <v>9.0999999999999998E-2</v>
      </c>
      <c r="H18" s="60">
        <f>'202604'!J18</f>
        <v>6.7000000000000004E-2</v>
      </c>
      <c r="I18" s="60">
        <f>'202605'!J18</f>
        <v>0.06</v>
      </c>
      <c r="J18" s="60">
        <f>'202606'!J18</f>
        <v>8.5000000000000006E-2</v>
      </c>
      <c r="K18" s="59">
        <f>'202607'!J18</f>
        <v>0.128</v>
      </c>
      <c r="L18" s="59">
        <f>'202608'!J18</f>
        <v>0.82699999999999996</v>
      </c>
      <c r="M18" s="59">
        <f>'202609'!J18</f>
        <v>7.6999999999999999E-2</v>
      </c>
      <c r="N18" s="59"/>
      <c r="O18" s="59"/>
      <c r="P18" s="59"/>
      <c r="Q18" s="61">
        <f t="shared" si="3"/>
        <v>0.82699999999999996</v>
      </c>
      <c r="R18" s="61">
        <f t="shared" si="0"/>
        <v>3.4000000000000002E-2</v>
      </c>
      <c r="S18" s="61">
        <f t="shared" si="1"/>
        <v>0.15877777777777777</v>
      </c>
      <c r="T18" s="62">
        <f t="shared" si="2"/>
        <v>0.251917535007876</v>
      </c>
      <c r="U18" s="86" t="str">
        <f t="shared" si="4"/>
        <v>보통</v>
      </c>
    </row>
    <row r="19" spans="1:21" ht="20.100000000000001" customHeight="1" x14ac:dyDescent="0.3">
      <c r="A19" s="18">
        <v>25</v>
      </c>
      <c r="B19" s="1" t="s">
        <v>113</v>
      </c>
      <c r="C19" s="1" t="s">
        <v>36</v>
      </c>
      <c r="D19" s="33" t="s">
        <v>58</v>
      </c>
      <c r="E19" s="59">
        <f>'202601'!J19</f>
        <v>0.16900000000000001</v>
      </c>
      <c r="F19" s="59">
        <f>'202602'!J19</f>
        <v>7.8E-2</v>
      </c>
      <c r="G19" s="60">
        <f>'202603'!J19</f>
        <v>4.5999999999999999E-2</v>
      </c>
      <c r="H19" s="60">
        <f>'202604'!J19</f>
        <v>6.8000000000000005E-2</v>
      </c>
      <c r="I19" s="60">
        <f>'202605'!J19</f>
        <v>9.8000000000000004E-2</v>
      </c>
      <c r="J19" s="60">
        <f>'202606'!J19</f>
        <v>8.7999999999999995E-2</v>
      </c>
      <c r="K19" s="59">
        <f>'202607'!J19</f>
        <v>6.4000000000000001E-2</v>
      </c>
      <c r="L19" s="59">
        <f>'202608'!J19</f>
        <v>5.8000000000000003E-2</v>
      </c>
      <c r="M19" s="59">
        <f>'202609'!J19</f>
        <v>7.0999999999999994E-2</v>
      </c>
      <c r="N19" s="59"/>
      <c r="O19" s="59"/>
      <c r="P19" s="59"/>
      <c r="Q19" s="61">
        <f t="shared" si="3"/>
        <v>0.16900000000000001</v>
      </c>
      <c r="R19" s="61">
        <f t="shared" si="0"/>
        <v>4.5999999999999999E-2</v>
      </c>
      <c r="S19" s="61">
        <f t="shared" si="1"/>
        <v>8.2222222222222224E-2</v>
      </c>
      <c r="T19" s="62">
        <f t="shared" si="2"/>
        <v>3.6037403408742522E-2</v>
      </c>
      <c r="U19" s="86" t="str">
        <f t="shared" si="4"/>
        <v>약간좋음</v>
      </c>
    </row>
    <row r="20" spans="1:21" ht="20.100000000000001" customHeight="1" x14ac:dyDescent="0.3">
      <c r="A20" s="18">
        <v>26</v>
      </c>
      <c r="B20" s="108" t="s">
        <v>114</v>
      </c>
      <c r="C20" s="1" t="s">
        <v>42</v>
      </c>
      <c r="D20" s="33" t="s">
        <v>93</v>
      </c>
      <c r="E20" s="59">
        <f>'202601'!J20</f>
        <v>0.156</v>
      </c>
      <c r="F20" s="59">
        <f>'202602'!J20</f>
        <v>9.2999999999999999E-2</v>
      </c>
      <c r="G20" s="60">
        <f>'202603'!J20</f>
        <v>8.5999999999999993E-2</v>
      </c>
      <c r="H20" s="60">
        <f>'202604'!J20</f>
        <v>0.08</v>
      </c>
      <c r="I20" s="60">
        <f>'202605'!J20</f>
        <v>0.11</v>
      </c>
      <c r="J20" s="60">
        <f>'202606'!J20</f>
        <v>8.8999999999999996E-2</v>
      </c>
      <c r="K20" s="59">
        <f>'202607'!J20</f>
        <v>6.6000000000000003E-2</v>
      </c>
      <c r="L20" s="59">
        <f>'202608'!J20</f>
        <v>3.5999999999999997E-2</v>
      </c>
      <c r="M20" s="59">
        <f>'202609'!J20</f>
        <v>9.0999999999999998E-2</v>
      </c>
      <c r="N20" s="59"/>
      <c r="O20" s="59"/>
      <c r="P20" s="59"/>
      <c r="Q20" s="61">
        <f t="shared" si="3"/>
        <v>0.156</v>
      </c>
      <c r="R20" s="61">
        <f t="shared" si="0"/>
        <v>3.5999999999999997E-2</v>
      </c>
      <c r="S20" s="61">
        <f t="shared" si="1"/>
        <v>8.9666666666666658E-2</v>
      </c>
      <c r="T20" s="62">
        <f t="shared" si="2"/>
        <v>3.2353516037673592E-2</v>
      </c>
      <c r="U20" s="86" t="str">
        <f t="shared" si="4"/>
        <v>약간좋음</v>
      </c>
    </row>
    <row r="21" spans="1:21" ht="20.100000000000001" customHeight="1" x14ac:dyDescent="0.3">
      <c r="A21" s="18">
        <v>27</v>
      </c>
      <c r="B21" s="109"/>
      <c r="C21" s="1" t="s">
        <v>18</v>
      </c>
      <c r="D21" s="33" t="s">
        <v>95</v>
      </c>
      <c r="E21" s="59">
        <f>'202601'!J21</f>
        <v>7.0000000000000007E-2</v>
      </c>
      <c r="F21" s="59">
        <f>'202602'!J21</f>
        <v>0.11799999999999999</v>
      </c>
      <c r="G21" s="60">
        <f>'202603'!J21</f>
        <v>9.2999999999999999E-2</v>
      </c>
      <c r="H21" s="60">
        <f>'202604'!J21</f>
        <v>0.13</v>
      </c>
      <c r="I21" s="60">
        <f>'202605'!J21</f>
        <v>0.2</v>
      </c>
      <c r="J21" s="60">
        <f>'202606'!J21</f>
        <v>0.21299999999999999</v>
      </c>
      <c r="K21" s="59">
        <f>'202607'!J21</f>
        <v>0.11</v>
      </c>
      <c r="L21" s="59">
        <f>'202608'!J21</f>
        <v>0.107</v>
      </c>
      <c r="M21" s="59">
        <f>'202609'!J21</f>
        <v>7.3999999999999996E-2</v>
      </c>
      <c r="N21" s="59"/>
      <c r="O21" s="59"/>
      <c r="P21" s="59"/>
      <c r="Q21" s="61">
        <f t="shared" si="3"/>
        <v>0.21299999999999999</v>
      </c>
      <c r="R21" s="61">
        <f t="shared" si="0"/>
        <v>7.0000000000000007E-2</v>
      </c>
      <c r="S21" s="61">
        <f t="shared" si="1"/>
        <v>0.12388888888888888</v>
      </c>
      <c r="T21" s="62">
        <f t="shared" si="2"/>
        <v>5.0782488232766897E-2</v>
      </c>
      <c r="U21" s="86" t="str">
        <f t="shared" si="4"/>
        <v>보통</v>
      </c>
    </row>
    <row r="22" spans="1:21" ht="20.100000000000001" customHeight="1" x14ac:dyDescent="0.3">
      <c r="A22" s="18">
        <v>28</v>
      </c>
      <c r="B22" s="109"/>
      <c r="C22" s="1" t="s">
        <v>19</v>
      </c>
      <c r="D22" s="33" t="s">
        <v>94</v>
      </c>
      <c r="E22" s="59">
        <f>'202601'!J22</f>
        <v>9.5000000000000001E-2</v>
      </c>
      <c r="F22" s="59">
        <f>'202602'!J22</f>
        <v>8.1000000000000003E-2</v>
      </c>
      <c r="G22" s="60">
        <f>'202603'!J22</f>
        <v>0.108</v>
      </c>
      <c r="H22" s="60">
        <f>'202604'!J22</f>
        <v>0.127</v>
      </c>
      <c r="I22" s="60">
        <f>'202605'!J22</f>
        <v>0.106</v>
      </c>
      <c r="J22" s="60">
        <f>'202606'!J22</f>
        <v>7.4999999999999997E-2</v>
      </c>
      <c r="K22" s="59">
        <f>'202607'!J22</f>
        <v>0.10199999999999999</v>
      </c>
      <c r="L22" s="59">
        <f>'202608'!J22</f>
        <v>8.4000000000000005E-2</v>
      </c>
      <c r="M22" s="59">
        <f>'202609'!J22</f>
        <v>2.5999999999999999E-2</v>
      </c>
      <c r="N22" s="59"/>
      <c r="O22" s="59"/>
      <c r="P22" s="59"/>
      <c r="Q22" s="61">
        <f>MAX(E22:P22)</f>
        <v>0.127</v>
      </c>
      <c r="R22" s="61">
        <f t="shared" si="0"/>
        <v>2.5999999999999999E-2</v>
      </c>
      <c r="S22" s="61">
        <f t="shared" si="1"/>
        <v>8.933333333333332E-2</v>
      </c>
      <c r="T22" s="62">
        <f t="shared" si="2"/>
        <v>2.8618176042508405E-2</v>
      </c>
      <c r="U22" s="86" t="str">
        <f t="shared" si="4"/>
        <v>약간좋음</v>
      </c>
    </row>
    <row r="23" spans="1:21" ht="20.100000000000001" customHeight="1" x14ac:dyDescent="0.3">
      <c r="A23" s="18">
        <v>29</v>
      </c>
      <c r="B23" s="109"/>
      <c r="C23" s="1" t="s">
        <v>63</v>
      </c>
      <c r="D23" s="33" t="s">
        <v>59</v>
      </c>
      <c r="E23" s="59">
        <f>'202601'!J23</f>
        <v>5.5E-2</v>
      </c>
      <c r="F23" s="59">
        <f>'202602'!J23</f>
        <v>6.4000000000000001E-2</v>
      </c>
      <c r="G23" s="60">
        <f>'202603'!J23</f>
        <v>9.7000000000000003E-2</v>
      </c>
      <c r="H23" s="60">
        <f>'202604'!J23</f>
        <v>0.128</v>
      </c>
      <c r="I23" s="60">
        <f>'202605'!J23</f>
        <v>2.1000000000000001E-2</v>
      </c>
      <c r="J23" s="60">
        <f>'202606'!J23</f>
        <v>7.9000000000000001E-2</v>
      </c>
      <c r="K23" s="59">
        <f>'202607'!J23</f>
        <v>0.11899999999999999</v>
      </c>
      <c r="L23" s="59">
        <f>'202608'!J23</f>
        <v>8.4000000000000005E-2</v>
      </c>
      <c r="M23" s="59">
        <f>'202609'!J23</f>
        <v>1.4E-2</v>
      </c>
      <c r="N23" s="59"/>
      <c r="O23" s="59"/>
      <c r="P23" s="59"/>
      <c r="Q23" s="61">
        <f t="shared" si="3"/>
        <v>0.128</v>
      </c>
      <c r="R23" s="61">
        <f t="shared" si="0"/>
        <v>1.4E-2</v>
      </c>
      <c r="S23" s="61">
        <f t="shared" si="1"/>
        <v>7.3444444444444437E-2</v>
      </c>
      <c r="T23" s="62">
        <f t="shared" si="2"/>
        <v>3.9468693641641836E-2</v>
      </c>
      <c r="U23" s="86" t="str">
        <f t="shared" si="4"/>
        <v>약간좋음</v>
      </c>
    </row>
    <row r="24" spans="1:21" ht="20.100000000000001" customHeight="1" x14ac:dyDescent="0.3">
      <c r="A24" s="18">
        <v>30</v>
      </c>
      <c r="B24" s="109"/>
      <c r="C24" s="1" t="s">
        <v>87</v>
      </c>
      <c r="D24" s="33" t="s">
        <v>88</v>
      </c>
      <c r="E24" s="59">
        <f>'202601'!J24</f>
        <v>8.4000000000000005E-2</v>
      </c>
      <c r="F24" s="59">
        <f>'202602'!J24</f>
        <v>6.4000000000000001E-2</v>
      </c>
      <c r="G24" s="60">
        <f>'202603'!J24</f>
        <v>6.2E-2</v>
      </c>
      <c r="H24" s="60">
        <f>'202604'!J24</f>
        <v>0.107</v>
      </c>
      <c r="I24" s="60">
        <f>'202605'!J24</f>
        <v>7.2999999999999995E-2</v>
      </c>
      <c r="J24" s="60">
        <f>'202606'!J24</f>
        <v>0.01</v>
      </c>
      <c r="K24" s="59">
        <f>'202607'!J24</f>
        <v>0.13800000000000001</v>
      </c>
      <c r="L24" s="59">
        <f>'202608'!J24</f>
        <v>6.6000000000000003E-2</v>
      </c>
      <c r="M24" s="59">
        <f>'202609'!J24</f>
        <v>5.0999999999999997E-2</v>
      </c>
      <c r="N24" s="59"/>
      <c r="O24" s="59"/>
      <c r="P24" s="59"/>
      <c r="Q24" s="61">
        <f t="shared" si="3"/>
        <v>0.13800000000000001</v>
      </c>
      <c r="R24" s="61">
        <f t="shared" si="0"/>
        <v>0.01</v>
      </c>
      <c r="S24" s="61">
        <f t="shared" si="1"/>
        <v>7.2777777777777788E-2</v>
      </c>
      <c r="T24" s="62">
        <f t="shared" si="2"/>
        <v>3.5716864986228045E-2</v>
      </c>
      <c r="U24" s="86" t="str">
        <f t="shared" si="4"/>
        <v>약간좋음</v>
      </c>
    </row>
    <row r="25" spans="1:21" ht="20.100000000000001" customHeight="1" x14ac:dyDescent="0.3">
      <c r="A25" s="18">
        <v>31</v>
      </c>
      <c r="B25" s="109"/>
      <c r="C25" s="1" t="s">
        <v>20</v>
      </c>
      <c r="D25" s="33" t="s">
        <v>60</v>
      </c>
      <c r="E25" s="59">
        <f>'202601'!J25</f>
        <v>0.08</v>
      </c>
      <c r="F25" s="59">
        <f>'202602'!J25</f>
        <v>5.6000000000000001E-2</v>
      </c>
      <c r="G25" s="60">
        <f>'202603'!J25</f>
        <v>7.0000000000000007E-2</v>
      </c>
      <c r="H25" s="60">
        <f>'202604'!J25</f>
        <v>0.106</v>
      </c>
      <c r="I25" s="60">
        <f>'202605'!J25</f>
        <v>0.06</v>
      </c>
      <c r="J25" s="60">
        <f>'202606'!J25</f>
        <v>3.9E-2</v>
      </c>
      <c r="K25" s="59">
        <f>'202607'!J25</f>
        <v>0.10199999999999999</v>
      </c>
      <c r="L25" s="59">
        <f>'202608'!J25</f>
        <v>7.0000000000000007E-2</v>
      </c>
      <c r="M25" s="59">
        <f>'202609'!J25</f>
        <v>0.04</v>
      </c>
      <c r="N25" s="59"/>
      <c r="O25" s="59"/>
      <c r="P25" s="59"/>
      <c r="Q25" s="61">
        <f t="shared" si="3"/>
        <v>0.106</v>
      </c>
      <c r="R25" s="61">
        <f t="shared" si="0"/>
        <v>3.9E-2</v>
      </c>
      <c r="S25" s="61">
        <f t="shared" si="1"/>
        <v>6.9222222222222227E-2</v>
      </c>
      <c r="T25" s="62">
        <f t="shared" si="2"/>
        <v>2.390490419232932E-2</v>
      </c>
      <c r="U25" s="86" t="str">
        <f t="shared" si="4"/>
        <v>약간좋음</v>
      </c>
    </row>
    <row r="26" spans="1:21" ht="16.5" customHeight="1" x14ac:dyDescent="0.3">
      <c r="A26" s="18">
        <v>32</v>
      </c>
      <c r="B26" s="109"/>
      <c r="C26" s="1" t="s">
        <v>21</v>
      </c>
      <c r="D26" s="33" t="s">
        <v>91</v>
      </c>
      <c r="E26" s="59">
        <f>'202601'!J26</f>
        <v>0.05</v>
      </c>
      <c r="F26" s="59">
        <f>'202602'!J26</f>
        <v>0.06</v>
      </c>
      <c r="G26" s="60">
        <f>'202603'!J26</f>
        <v>6.3E-2</v>
      </c>
      <c r="H26" s="60">
        <f>'202604'!J26</f>
        <v>0.08</v>
      </c>
      <c r="I26" s="60">
        <f>'202605'!J26</f>
        <v>0.128</v>
      </c>
      <c r="J26" s="60">
        <f>'202606'!J26</f>
        <v>7.5999999999999998E-2</v>
      </c>
      <c r="K26" s="59">
        <f>'202607'!J26</f>
        <v>8.6999999999999994E-2</v>
      </c>
      <c r="L26" s="59">
        <f>'202608'!J26</f>
        <v>1.9E-2</v>
      </c>
      <c r="M26" s="59">
        <f>'202609'!J26</f>
        <v>0.16400000000000001</v>
      </c>
      <c r="N26" s="59"/>
      <c r="O26" s="59"/>
      <c r="P26" s="59"/>
      <c r="Q26" s="61">
        <f t="shared" si="3"/>
        <v>0.16400000000000001</v>
      </c>
      <c r="R26" s="61">
        <f t="shared" si="0"/>
        <v>1.9E-2</v>
      </c>
      <c r="S26" s="61">
        <f t="shared" si="1"/>
        <v>8.0777777777777782E-2</v>
      </c>
      <c r="T26" s="62">
        <f t="shared" si="2"/>
        <v>4.290914173511795E-2</v>
      </c>
      <c r="U26" s="86" t="str">
        <f t="shared" si="4"/>
        <v>약간좋음</v>
      </c>
    </row>
    <row r="27" spans="1:21" ht="20.100000000000001" customHeight="1" x14ac:dyDescent="0.3">
      <c r="A27" s="18">
        <v>33</v>
      </c>
      <c r="B27" s="109"/>
      <c r="C27" s="1" t="s">
        <v>22</v>
      </c>
      <c r="D27" s="33" t="s">
        <v>61</v>
      </c>
      <c r="E27" s="59">
        <f>'202601'!J27</f>
        <v>7.4999999999999997E-2</v>
      </c>
      <c r="F27" s="59">
        <f>'202602'!J27</f>
        <v>0.09</v>
      </c>
      <c r="G27" s="60">
        <f>'202603'!J27</f>
        <v>9.1999999999999998E-2</v>
      </c>
      <c r="H27" s="60">
        <f>'202604'!J27</f>
        <v>0.104</v>
      </c>
      <c r="I27" s="60">
        <f>'202605'!J27</f>
        <v>0.19400000000000001</v>
      </c>
      <c r="J27" s="60">
        <f>'202606'!J27</f>
        <v>6.2E-2</v>
      </c>
      <c r="K27" s="59">
        <f>'202607'!J27</f>
        <v>0.11799999999999999</v>
      </c>
      <c r="L27" s="59">
        <f>'202608'!J27</f>
        <v>1.7000000000000001E-2</v>
      </c>
      <c r="M27" s="59">
        <f>'202609'!J27</f>
        <v>1.7000000000000001E-2</v>
      </c>
      <c r="N27" s="59"/>
      <c r="O27" s="59"/>
      <c r="P27" s="59"/>
      <c r="Q27" s="61">
        <f t="shared" si="3"/>
        <v>0.19400000000000001</v>
      </c>
      <c r="R27" s="59">
        <f t="shared" si="0"/>
        <v>1.7000000000000001E-2</v>
      </c>
      <c r="S27" s="63">
        <f>AVERAGE(E27:P27)</f>
        <v>8.5444444444444448E-2</v>
      </c>
      <c r="T27" s="62">
        <f t="shared" si="2"/>
        <v>5.3944673303096193E-2</v>
      </c>
      <c r="U27" s="86" t="str">
        <f t="shared" si="4"/>
        <v>약간좋음</v>
      </c>
    </row>
    <row r="28" spans="1:21" ht="20.100000000000001" customHeight="1" x14ac:dyDescent="0.3">
      <c r="A28" s="18">
        <v>34</v>
      </c>
      <c r="B28" s="109"/>
      <c r="C28" s="1" t="s">
        <v>23</v>
      </c>
      <c r="D28" s="33" t="s">
        <v>24</v>
      </c>
      <c r="E28" s="59">
        <f>'202601'!J28</f>
        <v>0.104</v>
      </c>
      <c r="F28" s="59">
        <f>'202602'!J28</f>
        <v>0.10299999999999999</v>
      </c>
      <c r="G28" s="60">
        <f>'202603'!J28</f>
        <v>0.13400000000000001</v>
      </c>
      <c r="H28" s="60">
        <f>'202604'!J28</f>
        <v>0.14899999999999999</v>
      </c>
      <c r="I28" s="60">
        <f>'202605'!J28</f>
        <v>0.21299999999999999</v>
      </c>
      <c r="J28" s="60">
        <f>'202606'!J28</f>
        <v>8.5000000000000006E-2</v>
      </c>
      <c r="K28" s="59">
        <f>'202607'!J28</f>
        <v>9.0999999999999998E-2</v>
      </c>
      <c r="L28" s="59">
        <f>'202608'!J28</f>
        <v>6.5000000000000002E-2</v>
      </c>
      <c r="M28" s="59">
        <f>'202609'!J28</f>
        <v>6.5000000000000002E-2</v>
      </c>
      <c r="N28" s="59"/>
      <c r="O28" s="59"/>
      <c r="P28" s="59"/>
      <c r="Q28" s="61">
        <f t="shared" si="3"/>
        <v>0.21299999999999999</v>
      </c>
      <c r="R28" s="61">
        <f t="shared" si="0"/>
        <v>6.5000000000000002E-2</v>
      </c>
      <c r="S28" s="63">
        <f>AVERAGE(E28:P28)</f>
        <v>0.11211111111111111</v>
      </c>
      <c r="T28" s="62">
        <f t="shared" si="2"/>
        <v>4.715253027262814E-2</v>
      </c>
      <c r="U28" s="86" t="str">
        <f t="shared" si="4"/>
        <v>보통</v>
      </c>
    </row>
    <row r="29" spans="1:21" ht="20.100000000000001" customHeight="1" x14ac:dyDescent="0.3">
      <c r="A29" s="18">
        <v>35</v>
      </c>
      <c r="B29" s="109"/>
      <c r="C29" s="1" t="s">
        <v>64</v>
      </c>
      <c r="D29" s="33" t="s">
        <v>89</v>
      </c>
      <c r="E29" s="59">
        <f>'202601'!J29</f>
        <v>0.11700000000000001</v>
      </c>
      <c r="F29" s="59">
        <f>'202602'!J29</f>
        <v>8.2000000000000003E-2</v>
      </c>
      <c r="G29" s="60">
        <f>'202603'!J29</f>
        <v>9.5000000000000001E-2</v>
      </c>
      <c r="H29" s="60">
        <f>'202604'!J29</f>
        <v>0.108</v>
      </c>
      <c r="I29" s="60">
        <f>'202605'!J29</f>
        <v>0.184</v>
      </c>
      <c r="J29" s="60">
        <f>'202606'!J29</f>
        <v>0.10199999999999999</v>
      </c>
      <c r="K29" s="59">
        <f>'202607'!J29</f>
        <v>0.106</v>
      </c>
      <c r="L29" s="59">
        <f>'202608'!J29</f>
        <v>6.4000000000000001E-2</v>
      </c>
      <c r="M29" s="59">
        <f>'202609'!J29</f>
        <v>6.4000000000000001E-2</v>
      </c>
      <c r="N29" s="59"/>
      <c r="O29" s="59"/>
      <c r="P29" s="59"/>
      <c r="Q29" s="61">
        <f t="shared" si="3"/>
        <v>0.184</v>
      </c>
      <c r="R29" s="61">
        <f t="shared" si="0"/>
        <v>6.4000000000000001E-2</v>
      </c>
      <c r="S29" s="61">
        <f>AVERAGE(E29:P29)</f>
        <v>0.10244444444444446</v>
      </c>
      <c r="T29" s="62">
        <f t="shared" si="2"/>
        <v>3.5944787908370995E-2</v>
      </c>
      <c r="U29" s="86" t="str">
        <f t="shared" si="4"/>
        <v>보통</v>
      </c>
    </row>
    <row r="30" spans="1:21" ht="20.100000000000001" customHeight="1" x14ac:dyDescent="0.3">
      <c r="A30" s="18">
        <v>36</v>
      </c>
      <c r="B30" s="109"/>
      <c r="C30" s="1" t="s">
        <v>27</v>
      </c>
      <c r="D30" s="33" t="s">
        <v>62</v>
      </c>
      <c r="E30" s="59">
        <f>'202601'!J30</f>
        <v>0.11799999999999999</v>
      </c>
      <c r="F30" s="59">
        <f>'202602'!J30</f>
        <v>0.14199999999999999</v>
      </c>
      <c r="G30" s="60">
        <f>'202603'!J30</f>
        <v>0.11799999999999999</v>
      </c>
      <c r="H30" s="60">
        <f>'202604'!J30</f>
        <v>9.0999999999999998E-2</v>
      </c>
      <c r="I30" s="60">
        <f>'202605'!J30</f>
        <v>0.107</v>
      </c>
      <c r="J30" s="60">
        <f>'202606'!J30</f>
        <v>8.8999999999999996E-2</v>
      </c>
      <c r="K30" s="59">
        <f>'202607'!J30</f>
        <v>8.4000000000000005E-2</v>
      </c>
      <c r="L30" s="59">
        <f>'202608'!J30</f>
        <v>5.0999999999999997E-2</v>
      </c>
      <c r="M30" s="59">
        <f>'202609'!J30</f>
        <v>5.0999999999999997E-2</v>
      </c>
      <c r="N30" s="59"/>
      <c r="O30" s="59"/>
      <c r="P30" s="59"/>
      <c r="Q30" s="61">
        <f t="shared" si="3"/>
        <v>0.14199999999999999</v>
      </c>
      <c r="R30" s="61">
        <f t="shared" si="0"/>
        <v>5.0999999999999997E-2</v>
      </c>
      <c r="S30" s="61">
        <f t="shared" si="1"/>
        <v>9.4555555555555559E-2</v>
      </c>
      <c r="T30" s="62">
        <f t="shared" si="2"/>
        <v>3.0525035262514925E-2</v>
      </c>
      <c r="U30" s="86" t="str">
        <f t="shared" si="4"/>
        <v>약간좋음</v>
      </c>
    </row>
    <row r="31" spans="1:21" s="20" customFormat="1" ht="20.100000000000001" customHeight="1" x14ac:dyDescent="0.3">
      <c r="A31" s="18">
        <v>37</v>
      </c>
      <c r="B31" s="109"/>
      <c r="C31" s="1" t="s">
        <v>25</v>
      </c>
      <c r="D31" s="33" t="s">
        <v>26</v>
      </c>
      <c r="E31" s="59">
        <f>'202601'!J31</f>
        <v>0.123</v>
      </c>
      <c r="F31" s="59">
        <f>'202602'!J31</f>
        <v>0.13100000000000001</v>
      </c>
      <c r="G31" s="60">
        <f>'202603'!J31</f>
        <v>0.122</v>
      </c>
      <c r="H31" s="60">
        <f>'202604'!J31</f>
        <v>0.104</v>
      </c>
      <c r="I31" s="60">
        <f>'202605'!J31</f>
        <v>9.9000000000000005E-2</v>
      </c>
      <c r="J31" s="60">
        <f>'202606'!J31</f>
        <v>9.0999999999999998E-2</v>
      </c>
      <c r="K31" s="59">
        <f>'202607'!J31</f>
        <v>7.6999999999999999E-2</v>
      </c>
      <c r="L31" s="59">
        <f>'202608'!J31</f>
        <v>4.1000000000000002E-2</v>
      </c>
      <c r="M31" s="59">
        <f>'202609'!J31</f>
        <v>4.1000000000000002E-2</v>
      </c>
      <c r="N31" s="59"/>
      <c r="O31" s="59"/>
      <c r="P31" s="59"/>
      <c r="Q31" s="61">
        <f t="shared" si="3"/>
        <v>0.13100000000000001</v>
      </c>
      <c r="R31" s="61">
        <f t="shared" si="0"/>
        <v>4.1000000000000002E-2</v>
      </c>
      <c r="S31" s="61">
        <f t="shared" si="1"/>
        <v>9.2111111111111102E-2</v>
      </c>
      <c r="T31" s="62">
        <f t="shared" si="2"/>
        <v>3.3546402357199398E-2</v>
      </c>
      <c r="U31" s="86" t="str">
        <f t="shared" si="4"/>
        <v>약간좋음</v>
      </c>
    </row>
    <row r="32" spans="1:21" s="20" customFormat="1" ht="20.100000000000001" customHeight="1" x14ac:dyDescent="0.3">
      <c r="A32" s="18">
        <v>38</v>
      </c>
      <c r="B32" s="110"/>
      <c r="C32" s="1" t="s">
        <v>28</v>
      </c>
      <c r="D32" s="33" t="s">
        <v>90</v>
      </c>
      <c r="E32" s="59">
        <f>'202601'!J32</f>
        <v>0.10199999999999999</v>
      </c>
      <c r="F32" s="59">
        <f>'202602'!J32</f>
        <v>0.106</v>
      </c>
      <c r="G32" s="60">
        <f>'202603'!J32</f>
        <v>9.0999999999999998E-2</v>
      </c>
      <c r="H32" s="60">
        <f>'202604'!J32</f>
        <v>7.9000000000000001E-2</v>
      </c>
      <c r="I32" s="60">
        <f>'202605'!J32</f>
        <v>7.6999999999999999E-2</v>
      </c>
      <c r="J32" s="60">
        <f>'202606'!J32</f>
        <v>6.4000000000000001E-2</v>
      </c>
      <c r="K32" s="59">
        <f>'202607'!J32</f>
        <v>7.3999999999999996E-2</v>
      </c>
      <c r="L32" s="59">
        <f>'202608'!J32</f>
        <v>3.7999999999999999E-2</v>
      </c>
      <c r="M32" s="59">
        <f>'202609'!J32</f>
        <v>3.7999999999999999E-2</v>
      </c>
      <c r="N32" s="59"/>
      <c r="O32" s="59"/>
      <c r="P32" s="59"/>
      <c r="Q32" s="61">
        <f t="shared" si="3"/>
        <v>0.106</v>
      </c>
      <c r="R32" s="61">
        <f t="shared" si="0"/>
        <v>3.7999999999999999E-2</v>
      </c>
      <c r="S32" s="63">
        <f>AVERAGE(E32:P32)</f>
        <v>7.4333333333333335E-2</v>
      </c>
      <c r="T32" s="62">
        <f t="shared" si="2"/>
        <v>2.4550967394381853E-2</v>
      </c>
      <c r="U32" s="86" t="str">
        <f t="shared" si="4"/>
        <v>약간좋음</v>
      </c>
    </row>
    <row r="33" spans="1:21" ht="20.100000000000001" customHeight="1" x14ac:dyDescent="0.3">
      <c r="A33" s="18">
        <v>39</v>
      </c>
      <c r="B33" s="1" t="s">
        <v>115</v>
      </c>
      <c r="C33" s="1" t="s">
        <v>43</v>
      </c>
      <c r="D33" s="33" t="s">
        <v>30</v>
      </c>
      <c r="E33" s="59">
        <f>'202601'!J33</f>
        <v>0.14199999999999999</v>
      </c>
      <c r="F33" s="59">
        <f>'202602'!J33</f>
        <v>5.1999999999999998E-2</v>
      </c>
      <c r="G33" s="60">
        <f>'202603'!J33</f>
        <v>0.10199999999999999</v>
      </c>
      <c r="H33" s="60">
        <f>'202604'!J33</f>
        <v>0.20100000000000001</v>
      </c>
      <c r="I33" s="60">
        <f>'202605'!J33</f>
        <v>0.124</v>
      </c>
      <c r="J33" s="60">
        <f>'202606'!J33</f>
        <v>3.2000000000000001E-2</v>
      </c>
      <c r="K33" s="59">
        <f>'202607'!J33</f>
        <v>9.8000000000000004E-2</v>
      </c>
      <c r="L33" s="59">
        <f>'202608'!J33</f>
        <v>3.6999999999999998E-2</v>
      </c>
      <c r="M33" s="59">
        <f>'202609'!J33</f>
        <v>3.6999999999999998E-2</v>
      </c>
      <c r="N33" s="59"/>
      <c r="O33" s="59"/>
      <c r="P33" s="59"/>
      <c r="Q33" s="61">
        <f t="shared" si="3"/>
        <v>0.20100000000000001</v>
      </c>
      <c r="R33" s="61">
        <f t="shared" si="0"/>
        <v>3.2000000000000001E-2</v>
      </c>
      <c r="S33" s="61">
        <f t="shared" si="1"/>
        <v>9.1666666666666674E-2</v>
      </c>
      <c r="T33" s="62">
        <f t="shared" si="2"/>
        <v>5.78683851511341E-2</v>
      </c>
      <c r="U33" s="86" t="str">
        <f t="shared" si="4"/>
        <v>약간좋음</v>
      </c>
    </row>
    <row r="34" spans="1:21" ht="20.100000000000001" customHeight="1" x14ac:dyDescent="0.3">
      <c r="A34" s="18">
        <v>44</v>
      </c>
      <c r="B34" s="1" t="s">
        <v>116</v>
      </c>
      <c r="C34" s="1" t="s">
        <v>31</v>
      </c>
      <c r="D34" s="33" t="s">
        <v>32</v>
      </c>
      <c r="E34" s="59">
        <f>'202601'!J34</f>
        <v>0.17199999999999999</v>
      </c>
      <c r="F34" s="59">
        <f>'202602'!J34</f>
        <v>0.109</v>
      </c>
      <c r="G34" s="60">
        <f>'202603'!J34</f>
        <v>0.126</v>
      </c>
      <c r="H34" s="60">
        <f>'202604'!J34</f>
        <v>0.221</v>
      </c>
      <c r="I34" s="60">
        <f>'202605'!J34</f>
        <v>8.5999999999999993E-2</v>
      </c>
      <c r="J34" s="60">
        <f>'202606'!J34</f>
        <v>7.0999999999999994E-2</v>
      </c>
      <c r="K34" s="59">
        <f>'202607'!J34</f>
        <v>0.121</v>
      </c>
      <c r="L34" s="59">
        <f>'202608'!J34</f>
        <v>0.13500000000000001</v>
      </c>
      <c r="M34" s="59">
        <f>'202609'!J34</f>
        <v>0.13500000000000001</v>
      </c>
      <c r="N34" s="59"/>
      <c r="O34" s="59"/>
      <c r="P34" s="59"/>
      <c r="Q34" s="61">
        <f t="shared" si="3"/>
        <v>0.221</v>
      </c>
      <c r="R34" s="61">
        <f t="shared" si="0"/>
        <v>7.0999999999999994E-2</v>
      </c>
      <c r="S34" s="61">
        <f>AVERAGE(E34:P34)</f>
        <v>0.13066666666666665</v>
      </c>
      <c r="T34" s="62">
        <f t="shared" si="2"/>
        <v>4.478560036440285E-2</v>
      </c>
      <c r="U34" s="86" t="str">
        <f t="shared" si="4"/>
        <v>보통</v>
      </c>
    </row>
    <row r="35" spans="1:21" ht="20.100000000000001" customHeight="1" x14ac:dyDescent="0.3">
      <c r="A35" s="18">
        <v>46</v>
      </c>
      <c r="B35" s="1" t="s">
        <v>117</v>
      </c>
      <c r="C35" s="1" t="s">
        <v>103</v>
      </c>
      <c r="D35" s="33" t="s">
        <v>122</v>
      </c>
      <c r="E35" s="59">
        <f>'202601'!J35</f>
        <v>8.6999999999999994E-2</v>
      </c>
      <c r="F35" s="59">
        <f>'202602'!J35</f>
        <v>2.8000000000000001E-2</v>
      </c>
      <c r="G35" s="60">
        <f>'202603'!J35</f>
        <v>2.3E-2</v>
      </c>
      <c r="H35" s="60">
        <f>'202604'!J35</f>
        <v>2.8000000000000001E-2</v>
      </c>
      <c r="I35" s="60">
        <f>'202605'!J35</f>
        <v>4.9000000000000002E-2</v>
      </c>
      <c r="J35" s="60">
        <f>'202606'!J35</f>
        <v>2.7E-2</v>
      </c>
      <c r="K35" s="59">
        <f>'202607'!J35</f>
        <v>2.3E-2</v>
      </c>
      <c r="L35" s="59">
        <f>'202608'!J35</f>
        <v>1.9E-2</v>
      </c>
      <c r="M35" s="59">
        <f>'202609'!J35</f>
        <v>1.9E-2</v>
      </c>
      <c r="N35" s="59"/>
      <c r="O35" s="59"/>
      <c r="P35" s="59"/>
      <c r="Q35" s="61">
        <f t="shared" si="3"/>
        <v>8.6999999999999994E-2</v>
      </c>
      <c r="R35" s="61">
        <f t="shared" si="0"/>
        <v>1.9E-2</v>
      </c>
      <c r="S35" s="61">
        <f t="shared" si="1"/>
        <v>3.3666666666666664E-2</v>
      </c>
      <c r="T35" s="62">
        <f t="shared" si="2"/>
        <v>2.1926011949280701E-2</v>
      </c>
      <c r="U35" s="86" t="str">
        <f t="shared" si="4"/>
        <v>좋음</v>
      </c>
    </row>
    <row r="36" spans="1:21" ht="20.100000000000001" customHeight="1" x14ac:dyDescent="0.3">
      <c r="A36" s="18">
        <v>47</v>
      </c>
      <c r="B36" s="34" t="s">
        <v>118</v>
      </c>
      <c r="C36" s="1" t="s">
        <v>104</v>
      </c>
      <c r="D36" s="33" t="s">
        <v>105</v>
      </c>
      <c r="E36" s="59">
        <f>'202601'!J36</f>
        <v>7.1999999999999995E-2</v>
      </c>
      <c r="F36" s="59">
        <f>'202602'!J36</f>
        <v>0.152</v>
      </c>
      <c r="G36" s="60">
        <f>'202603'!J36</f>
        <v>0.152</v>
      </c>
      <c r="H36" s="60">
        <f>'202604'!J36</f>
        <v>9.4E-2</v>
      </c>
      <c r="I36" s="60">
        <f>'202605'!J36</f>
        <v>3.4000000000000002E-2</v>
      </c>
      <c r="J36" s="60">
        <f>'202606'!J36</f>
        <v>2.5000000000000001E-2</v>
      </c>
      <c r="K36" s="59">
        <f>'202607'!J36</f>
        <v>5.8000000000000003E-2</v>
      </c>
      <c r="L36" s="59">
        <f>'202608'!J36</f>
        <v>2.8000000000000001E-2</v>
      </c>
      <c r="M36" s="59">
        <f>'202609'!J36</f>
        <v>2.8000000000000001E-2</v>
      </c>
      <c r="N36" s="59"/>
      <c r="O36" s="59"/>
      <c r="P36" s="59"/>
      <c r="Q36" s="61">
        <f t="shared" si="3"/>
        <v>0.152</v>
      </c>
      <c r="R36" s="61">
        <f t="shared" si="0"/>
        <v>2.5000000000000001E-2</v>
      </c>
      <c r="S36" s="61">
        <f t="shared" si="1"/>
        <v>7.1444444444444463E-2</v>
      </c>
      <c r="T36" s="62">
        <f t="shared" si="2"/>
        <v>5.1237464591622574E-2</v>
      </c>
      <c r="U36" s="86" t="str">
        <f t="shared" si="4"/>
        <v>약간좋음</v>
      </c>
    </row>
    <row r="37" spans="1:21" ht="20.100000000000001" customHeight="1" x14ac:dyDescent="0.3">
      <c r="A37" s="18">
        <v>49</v>
      </c>
      <c r="B37" s="48" t="s">
        <v>119</v>
      </c>
      <c r="C37" s="1" t="s">
        <v>98</v>
      </c>
      <c r="D37" s="33" t="s">
        <v>99</v>
      </c>
      <c r="E37" s="59">
        <f>'202601'!J37</f>
        <v>4.9000000000000002E-2</v>
      </c>
      <c r="F37" s="59">
        <f>'202602'!J37</f>
        <v>1.7000000000000001E-2</v>
      </c>
      <c r="G37" s="60">
        <f>'202603'!J37</f>
        <v>3.9E-2</v>
      </c>
      <c r="H37" s="60">
        <f>'202604'!J37</f>
        <v>5.0999999999999997E-2</v>
      </c>
      <c r="I37" s="60">
        <f>'202605'!J37</f>
        <v>0.106</v>
      </c>
      <c r="J37" s="60">
        <f>'202606'!J37</f>
        <v>7.6999999999999999E-2</v>
      </c>
      <c r="K37" s="59">
        <f>'202607'!J37</f>
        <v>5.5E-2</v>
      </c>
      <c r="L37" s="59">
        <f>'202608'!J37</f>
        <v>2.9000000000000001E-2</v>
      </c>
      <c r="M37" s="59">
        <f>'202609'!J37</f>
        <v>2.9000000000000001E-2</v>
      </c>
      <c r="N37" s="59"/>
      <c r="O37" s="59"/>
      <c r="P37" s="59"/>
      <c r="Q37" s="61">
        <f t="shared" si="3"/>
        <v>0.106</v>
      </c>
      <c r="R37" s="61">
        <f t="shared" si="0"/>
        <v>1.7000000000000001E-2</v>
      </c>
      <c r="S37" s="61">
        <f t="shared" si="1"/>
        <v>5.0222222222222231E-2</v>
      </c>
      <c r="T37" s="62">
        <f t="shared" si="2"/>
        <v>2.7348572987350616E-2</v>
      </c>
      <c r="U37" s="86" t="str">
        <f t="shared" si="4"/>
        <v>약간좋음</v>
      </c>
    </row>
    <row r="38" spans="1:21" ht="20.100000000000001" customHeight="1" x14ac:dyDescent="0.3">
      <c r="A38" s="18">
        <v>50</v>
      </c>
      <c r="B38" s="1" t="s">
        <v>120</v>
      </c>
      <c r="C38" s="1" t="s">
        <v>29</v>
      </c>
      <c r="D38" s="33" t="s">
        <v>80</v>
      </c>
      <c r="E38" s="59">
        <f>'202601'!J38</f>
        <v>3.5999999999999997E-2</v>
      </c>
      <c r="F38" s="59">
        <f>'202602'!J38</f>
        <v>6.0999999999999999E-2</v>
      </c>
      <c r="G38" s="60">
        <f>'202603'!J38</f>
        <v>0.115</v>
      </c>
      <c r="H38" s="60">
        <f>'202604'!J38</f>
        <v>0.13900000000000001</v>
      </c>
      <c r="I38" s="60">
        <f>'202605'!J38</f>
        <v>4.3999999999999997E-2</v>
      </c>
      <c r="J38" s="60">
        <f>'202606'!J38</f>
        <v>0.05</v>
      </c>
      <c r="K38" s="59">
        <f>'202607'!J38</f>
        <v>5.8000000000000003E-2</v>
      </c>
      <c r="L38" s="59">
        <f>'202608'!J38</f>
        <v>2.7E-2</v>
      </c>
      <c r="M38" s="59">
        <f>'202609'!J38</f>
        <v>2.7E-2</v>
      </c>
      <c r="N38" s="59"/>
      <c r="O38" s="59"/>
      <c r="P38" s="59"/>
      <c r="Q38" s="61">
        <f t="shared" si="3"/>
        <v>0.13900000000000001</v>
      </c>
      <c r="R38" s="61">
        <f t="shared" si="0"/>
        <v>2.7E-2</v>
      </c>
      <c r="S38" s="61">
        <f t="shared" si="1"/>
        <v>6.1888888888888896E-2</v>
      </c>
      <c r="T38" s="62">
        <f t="shared" si="2"/>
        <v>3.928881661632367E-2</v>
      </c>
      <c r="U38" s="86" t="str">
        <f t="shared" si="4"/>
        <v>약간좋음</v>
      </c>
    </row>
    <row r="39" spans="1:21" ht="19.5" customHeight="1" x14ac:dyDescent="0.3">
      <c r="B39" s="35" t="s">
        <v>121</v>
      </c>
      <c r="C39" s="35" t="s">
        <v>37</v>
      </c>
      <c r="D39" s="33" t="s">
        <v>92</v>
      </c>
      <c r="E39" s="59">
        <f>'202601'!J39</f>
        <v>4.8000000000000001E-2</v>
      </c>
      <c r="F39" s="59">
        <f>'202602'!J39</f>
        <v>7.2999999999999995E-2</v>
      </c>
      <c r="G39" s="60">
        <f>'202603'!J39</f>
        <v>0.184</v>
      </c>
      <c r="H39" s="60">
        <f>'202604'!J39</f>
        <v>0.19600000000000001</v>
      </c>
      <c r="I39" s="60">
        <f>'202605'!J39</f>
        <v>0.186</v>
      </c>
      <c r="J39" s="60">
        <f>'202606'!J39</f>
        <v>6.9000000000000006E-2</v>
      </c>
      <c r="K39" s="59">
        <f>'202607'!J39</f>
        <v>0.114</v>
      </c>
      <c r="L39" s="59">
        <f>'202608'!J39</f>
        <v>6.2E-2</v>
      </c>
      <c r="M39" s="59">
        <f>'202609'!J39</f>
        <v>6.2E-2</v>
      </c>
      <c r="N39" s="59"/>
      <c r="O39" s="59"/>
      <c r="P39" s="59"/>
      <c r="Q39" s="61">
        <f t="shared" si="3"/>
        <v>0.19600000000000001</v>
      </c>
      <c r="R39" s="61">
        <f t="shared" si="0"/>
        <v>4.8000000000000001E-2</v>
      </c>
      <c r="S39" s="61">
        <f>AVERAGE(E39:P39)</f>
        <v>0.11044444444444444</v>
      </c>
      <c r="T39" s="62">
        <f t="shared" si="2"/>
        <v>6.1404623423466864E-2</v>
      </c>
      <c r="U39" s="86" t="str">
        <f t="shared" si="4"/>
        <v>보통</v>
      </c>
    </row>
    <row r="40" spans="1:21" ht="16.5" customHeight="1" x14ac:dyDescent="0.3">
      <c r="C40" s="17"/>
    </row>
    <row r="43" spans="1:21" x14ac:dyDescent="0.3">
      <c r="P43" s="25"/>
    </row>
  </sheetData>
  <mergeCells count="5">
    <mergeCell ref="A1:T1"/>
    <mergeCell ref="B3:B6"/>
    <mergeCell ref="B12:B16"/>
    <mergeCell ref="B17:B18"/>
    <mergeCell ref="B20:B32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79998168889431442"/>
    <pageSetUpPr fitToPage="1"/>
  </sheetPr>
  <dimension ref="A1:X43"/>
  <sheetViews>
    <sheetView tabSelected="1" topLeftCell="B1" zoomScaleNormal="100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L12" sqref="L12"/>
    </sheetView>
  </sheetViews>
  <sheetFormatPr defaultRowHeight="14.25" x14ac:dyDescent="0.3"/>
  <cols>
    <col min="1" max="1" width="4.75" style="11" bestFit="1" customWidth="1"/>
    <col min="2" max="2" width="9.125" style="11" customWidth="1"/>
    <col min="3" max="3" width="12.25" style="11" bestFit="1" customWidth="1"/>
    <col min="4" max="4" width="44" style="17" bestFit="1" customWidth="1"/>
    <col min="5" max="5" width="8.125" style="16" customWidth="1"/>
    <col min="6" max="6" width="9.75" style="16" customWidth="1"/>
    <col min="7" max="15" width="8.125" style="16" customWidth="1"/>
    <col min="16" max="16" width="7.5" style="16" customWidth="1"/>
    <col min="17" max="17" width="8.125" style="7" customWidth="1"/>
    <col min="18" max="18" width="12.875" style="11" customWidth="1"/>
    <col min="19" max="21" width="12.875" style="17" customWidth="1"/>
    <col min="22" max="22" width="16.25" style="17" bestFit="1" customWidth="1"/>
    <col min="23" max="16384" width="9" style="17"/>
  </cols>
  <sheetData>
    <row r="1" spans="1:24" ht="35.25" customHeight="1" x14ac:dyDescent="0.3">
      <c r="A1" s="111" t="s">
        <v>102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49"/>
    </row>
    <row r="2" spans="1:24" ht="25.5" customHeight="1" x14ac:dyDescent="0.3">
      <c r="A2" s="13" t="s">
        <v>33</v>
      </c>
      <c r="B2" s="14" t="s">
        <v>34</v>
      </c>
      <c r="C2" s="14" t="s">
        <v>0</v>
      </c>
      <c r="D2" s="15" t="s">
        <v>1</v>
      </c>
      <c r="E2" s="47" t="s">
        <v>69</v>
      </c>
      <c r="F2" s="47" t="s">
        <v>70</v>
      </c>
      <c r="G2" s="47" t="s">
        <v>71</v>
      </c>
      <c r="H2" s="47" t="s">
        <v>72</v>
      </c>
      <c r="I2" s="47" t="s">
        <v>73</v>
      </c>
      <c r="J2" s="47" t="s">
        <v>74</v>
      </c>
      <c r="K2" s="47" t="s">
        <v>75</v>
      </c>
      <c r="L2" s="47" t="s">
        <v>68</v>
      </c>
      <c r="M2" s="47" t="s">
        <v>81</v>
      </c>
      <c r="N2" s="47" t="s">
        <v>82</v>
      </c>
      <c r="O2" s="47" t="s">
        <v>83</v>
      </c>
      <c r="P2" s="47" t="s">
        <v>84</v>
      </c>
      <c r="Q2" s="9" t="s">
        <v>78</v>
      </c>
      <c r="R2" s="12" t="s">
        <v>79</v>
      </c>
      <c r="S2" s="12" t="s">
        <v>76</v>
      </c>
      <c r="T2" s="45" t="s">
        <v>77</v>
      </c>
      <c r="U2" s="93"/>
      <c r="V2" s="17" t="s">
        <v>100</v>
      </c>
    </row>
    <row r="3" spans="1:24" ht="20.100000000000001" customHeight="1" x14ac:dyDescent="0.3">
      <c r="A3" s="18">
        <v>2</v>
      </c>
      <c r="B3" s="108" t="s">
        <v>66</v>
      </c>
      <c r="C3" s="1" t="s">
        <v>38</v>
      </c>
      <c r="D3" s="33" t="s">
        <v>46</v>
      </c>
      <c r="E3" s="23">
        <f>'202601'!K3</f>
        <v>24</v>
      </c>
      <c r="F3" s="23">
        <f>'202602'!K3</f>
        <v>16</v>
      </c>
      <c r="G3" s="24">
        <f>'202603'!K3</f>
        <v>20</v>
      </c>
      <c r="H3" s="24">
        <f>'202604'!K3</f>
        <v>12</v>
      </c>
      <c r="I3" s="24">
        <f>'202605'!K3</f>
        <v>14</v>
      </c>
      <c r="J3" s="24">
        <f>'202606'!K3</f>
        <v>40</v>
      </c>
      <c r="K3" s="23">
        <f>'202607'!K3</f>
        <v>12</v>
      </c>
      <c r="L3" s="23">
        <f>'202608'!K3</f>
        <v>11</v>
      </c>
      <c r="M3" s="23">
        <f>'202609'!K3</f>
        <v>7</v>
      </c>
      <c r="N3" s="23"/>
      <c r="O3" s="23"/>
      <c r="P3" s="38"/>
      <c r="Q3" s="51">
        <f>MAX(E3:P3)</f>
        <v>40</v>
      </c>
      <c r="R3" s="12">
        <f t="shared" ref="R3:R38" si="0">MIN(E3:P3)</f>
        <v>7</v>
      </c>
      <c r="S3" s="10">
        <f t="shared" ref="S3:S38" si="1">AVERAGE(E3:P3)</f>
        <v>17.333333333333332</v>
      </c>
      <c r="T3" s="46">
        <f t="shared" ref="T3:T38" si="2">STDEV(E3:P3)</f>
        <v>9.8868599666425947</v>
      </c>
      <c r="U3" s="94" t="s">
        <v>144</v>
      </c>
      <c r="V3" s="21" t="str">
        <f t="shared" ref="V3:V38" si="3">IF(S3&lt;=15, "달성", "미달성")</f>
        <v>미달성</v>
      </c>
    </row>
    <row r="4" spans="1:24" ht="20.100000000000001" customHeight="1" x14ac:dyDescent="0.3">
      <c r="A4" s="18">
        <v>3</v>
      </c>
      <c r="B4" s="109"/>
      <c r="C4" s="1" t="s">
        <v>8</v>
      </c>
      <c r="D4" s="33" t="s">
        <v>47</v>
      </c>
      <c r="E4" s="23">
        <f>'202601'!K4</f>
        <v>8</v>
      </c>
      <c r="F4" s="23">
        <f>'202602'!K4</f>
        <v>18</v>
      </c>
      <c r="G4" s="24">
        <f>'202603'!K4</f>
        <v>8</v>
      </c>
      <c r="H4" s="24">
        <f>'202604'!K4</f>
        <v>18</v>
      </c>
      <c r="I4" s="24">
        <f>'202605'!K4</f>
        <v>19</v>
      </c>
      <c r="J4" s="24">
        <f>'202606'!K4</f>
        <v>41</v>
      </c>
      <c r="K4" s="23">
        <f>'202607'!K4</f>
        <v>13</v>
      </c>
      <c r="L4" s="23">
        <f>'202608'!K4</f>
        <v>6</v>
      </c>
      <c r="M4" s="23">
        <f>'202609'!K4</f>
        <v>17</v>
      </c>
      <c r="N4" s="23"/>
      <c r="O4" s="23"/>
      <c r="P4" s="38"/>
      <c r="Q4" s="51">
        <f t="shared" ref="Q4:Q39" si="4">MAX(E4:P4)</f>
        <v>41</v>
      </c>
      <c r="R4" s="12">
        <f t="shared" si="0"/>
        <v>6</v>
      </c>
      <c r="S4" s="10">
        <f t="shared" si="1"/>
        <v>16.444444444444443</v>
      </c>
      <c r="T4" s="46">
        <f t="shared" si="2"/>
        <v>10.47748909700114</v>
      </c>
      <c r="U4" s="94" t="s">
        <v>144</v>
      </c>
      <c r="V4" s="21" t="str">
        <f t="shared" si="3"/>
        <v>미달성</v>
      </c>
    </row>
    <row r="5" spans="1:24" ht="20.100000000000001" customHeight="1" x14ac:dyDescent="0.3">
      <c r="A5" s="18">
        <v>4</v>
      </c>
      <c r="B5" s="109"/>
      <c r="C5" s="1" t="s">
        <v>9</v>
      </c>
      <c r="D5" s="33" t="s">
        <v>48</v>
      </c>
      <c r="E5" s="23">
        <f>'202601'!K5</f>
        <v>6</v>
      </c>
      <c r="F5" s="23">
        <f>'202602'!K5</f>
        <v>18</v>
      </c>
      <c r="G5" s="24">
        <f>'202603'!K5</f>
        <v>11</v>
      </c>
      <c r="H5" s="24">
        <f>'202604'!K5</f>
        <v>20</v>
      </c>
      <c r="I5" s="24">
        <f>'202605'!K5</f>
        <v>22</v>
      </c>
      <c r="J5" s="24">
        <f>'202606'!K5</f>
        <v>41</v>
      </c>
      <c r="K5" s="23">
        <f>'202607'!K5</f>
        <v>15</v>
      </c>
      <c r="L5" s="23">
        <f>'202608'!K5</f>
        <v>7</v>
      </c>
      <c r="M5" s="23">
        <f>'202609'!K5</f>
        <v>16</v>
      </c>
      <c r="N5" s="23"/>
      <c r="O5" s="23"/>
      <c r="P5" s="38"/>
      <c r="Q5" s="51">
        <f t="shared" si="4"/>
        <v>41</v>
      </c>
      <c r="R5" s="12">
        <f t="shared" si="0"/>
        <v>6</v>
      </c>
      <c r="S5" s="10">
        <f t="shared" si="1"/>
        <v>17.333333333333332</v>
      </c>
      <c r="T5" s="46">
        <f t="shared" si="2"/>
        <v>10.440306508910551</v>
      </c>
      <c r="U5" s="94" t="s">
        <v>251</v>
      </c>
      <c r="V5" s="21" t="str">
        <f t="shared" si="3"/>
        <v>미달성</v>
      </c>
    </row>
    <row r="6" spans="1:24" ht="20.100000000000001" customHeight="1" x14ac:dyDescent="0.3">
      <c r="A6" s="18">
        <v>8</v>
      </c>
      <c r="B6" s="110"/>
      <c r="C6" s="91" t="s">
        <v>10</v>
      </c>
      <c r="D6" s="92" t="s">
        <v>97</v>
      </c>
      <c r="E6" s="87">
        <f>'202601'!K6</f>
        <v>10</v>
      </c>
      <c r="F6" s="87">
        <f>'202602'!K6</f>
        <v>23</v>
      </c>
      <c r="G6" s="88">
        <f>'202603'!K6</f>
        <v>17</v>
      </c>
      <c r="H6" s="88">
        <f>'202604'!K6</f>
        <v>26</v>
      </c>
      <c r="I6" s="88">
        <f>'202605'!K6</f>
        <v>24</v>
      </c>
      <c r="J6" s="24">
        <f>'202606'!K6</f>
        <v>48</v>
      </c>
      <c r="K6" s="23">
        <f>'202607'!K6</f>
        <v>15</v>
      </c>
      <c r="L6" s="23">
        <f>'202608'!K6</f>
        <v>12</v>
      </c>
      <c r="M6" s="117">
        <f>'202609'!K6</f>
        <v>17</v>
      </c>
      <c r="N6" s="87"/>
      <c r="O6" s="87"/>
      <c r="P6" s="19"/>
      <c r="Q6" s="89">
        <f t="shared" si="4"/>
        <v>48</v>
      </c>
      <c r="R6" s="90">
        <f t="shared" si="0"/>
        <v>10</v>
      </c>
      <c r="S6" s="19">
        <f>AVERAGE(E6:P6)</f>
        <v>21.333333333333332</v>
      </c>
      <c r="T6" s="46">
        <f t="shared" si="2"/>
        <v>11.379806676741042</v>
      </c>
      <c r="U6" s="94" t="s">
        <v>252</v>
      </c>
      <c r="V6" s="21" t="str">
        <f t="shared" si="3"/>
        <v>미달성</v>
      </c>
    </row>
    <row r="7" spans="1:24" ht="20.100000000000001" customHeight="1" x14ac:dyDescent="0.3">
      <c r="A7" s="18">
        <v>10</v>
      </c>
      <c r="B7" s="40" t="s">
        <v>108</v>
      </c>
      <c r="C7" s="1" t="s">
        <v>39</v>
      </c>
      <c r="D7" s="33" t="s">
        <v>49</v>
      </c>
      <c r="E7" s="23">
        <f>'202601'!K7</f>
        <v>10</v>
      </c>
      <c r="F7" s="23">
        <f>'202602'!K7</f>
        <v>17</v>
      </c>
      <c r="G7" s="24">
        <f>'202603'!K7</f>
        <v>14</v>
      </c>
      <c r="H7" s="24">
        <f>'202604'!K7</f>
        <v>15</v>
      </c>
      <c r="I7" s="99">
        <f>'202605'!K7</f>
        <v>44</v>
      </c>
      <c r="J7" s="24">
        <f>'202606'!K7</f>
        <v>44</v>
      </c>
      <c r="K7" s="23">
        <f>'202607'!K7</f>
        <v>9</v>
      </c>
      <c r="L7" s="23">
        <f>'202608'!K7</f>
        <v>10</v>
      </c>
      <c r="M7" s="23">
        <f>'202609'!K7</f>
        <v>9</v>
      </c>
      <c r="N7" s="23"/>
      <c r="O7" s="23"/>
      <c r="P7" s="38"/>
      <c r="Q7" s="51">
        <f t="shared" si="4"/>
        <v>44</v>
      </c>
      <c r="R7" s="12">
        <f t="shared" si="0"/>
        <v>9</v>
      </c>
      <c r="S7" s="10">
        <f t="shared" si="1"/>
        <v>19.111111111111111</v>
      </c>
      <c r="T7" s="46">
        <f t="shared" si="2"/>
        <v>14.391355429948602</v>
      </c>
      <c r="U7" s="94" t="s">
        <v>253</v>
      </c>
      <c r="V7" s="21" t="str">
        <f t="shared" si="3"/>
        <v>미달성</v>
      </c>
    </row>
    <row r="8" spans="1:24" ht="20.100000000000001" customHeight="1" x14ac:dyDescent="0.3">
      <c r="A8" s="18">
        <v>11</v>
      </c>
      <c r="B8" s="41"/>
      <c r="C8" s="1" t="s">
        <v>11</v>
      </c>
      <c r="D8" s="33" t="s">
        <v>96</v>
      </c>
      <c r="E8" s="23">
        <f>'202601'!K8</f>
        <v>8</v>
      </c>
      <c r="F8" s="23">
        <f>'202602'!K8</f>
        <v>17</v>
      </c>
      <c r="G8" s="24">
        <f>'202603'!K8</f>
        <v>18</v>
      </c>
      <c r="H8" s="24">
        <f>'202604'!K8</f>
        <v>11</v>
      </c>
      <c r="I8" s="99">
        <f>'202605'!K8</f>
        <v>47</v>
      </c>
      <c r="J8" s="24">
        <f>'202606'!K8</f>
        <v>38</v>
      </c>
      <c r="K8" s="23">
        <f>'202607'!K8</f>
        <v>14</v>
      </c>
      <c r="L8" s="23">
        <f>'202608'!K8</f>
        <v>14</v>
      </c>
      <c r="M8" s="23">
        <f>'202609'!K8</f>
        <v>8</v>
      </c>
      <c r="N8" s="23"/>
      <c r="O8" s="23"/>
      <c r="P8" s="38"/>
      <c r="Q8" s="51">
        <f t="shared" si="4"/>
        <v>47</v>
      </c>
      <c r="R8" s="12">
        <f t="shared" si="0"/>
        <v>8</v>
      </c>
      <c r="S8" s="10">
        <f t="shared" si="1"/>
        <v>19.444444444444443</v>
      </c>
      <c r="T8" s="46">
        <f t="shared" si="2"/>
        <v>13.712322114717761</v>
      </c>
      <c r="U8" s="94" t="s">
        <v>253</v>
      </c>
      <c r="V8" s="21" t="str">
        <f t="shared" si="3"/>
        <v>미달성</v>
      </c>
    </row>
    <row r="9" spans="1:24" ht="20.100000000000001" customHeight="1" x14ac:dyDescent="0.3">
      <c r="A9" s="18">
        <v>12</v>
      </c>
      <c r="B9" s="42"/>
      <c r="C9" s="91" t="s">
        <v>12</v>
      </c>
      <c r="D9" s="92" t="s">
        <v>50</v>
      </c>
      <c r="E9" s="87">
        <f>'202601'!K9</f>
        <v>24</v>
      </c>
      <c r="F9" s="87">
        <f>'202602'!K9</f>
        <v>19</v>
      </c>
      <c r="G9" s="88">
        <f>'202603'!K9</f>
        <v>24</v>
      </c>
      <c r="H9" s="88">
        <f>'202604'!K9</f>
        <v>35</v>
      </c>
      <c r="I9" s="98">
        <f>'202605'!K9</f>
        <v>42</v>
      </c>
      <c r="J9" s="24">
        <f>'202606'!K9</f>
        <v>40</v>
      </c>
      <c r="K9" s="23">
        <f>'202607'!K9</f>
        <v>11</v>
      </c>
      <c r="L9" s="23">
        <f>'202608'!K9</f>
        <v>12</v>
      </c>
      <c r="M9" s="23">
        <f>'202609'!K9</f>
        <v>10</v>
      </c>
      <c r="N9" s="87"/>
      <c r="O9" s="87"/>
      <c r="P9" s="19"/>
      <c r="Q9" s="89">
        <f t="shared" si="4"/>
        <v>42</v>
      </c>
      <c r="R9" s="90">
        <f t="shared" si="0"/>
        <v>10</v>
      </c>
      <c r="S9" s="19">
        <f>AVERAGE(E9:P9)</f>
        <v>24.111111111111111</v>
      </c>
      <c r="T9" s="46">
        <f t="shared" si="2"/>
        <v>12.424214708025255</v>
      </c>
      <c r="U9" s="94" t="s">
        <v>253</v>
      </c>
      <c r="V9" s="21" t="str">
        <f t="shared" si="3"/>
        <v>미달성</v>
      </c>
    </row>
    <row r="10" spans="1:24" ht="20.100000000000001" customHeight="1" x14ac:dyDescent="0.3">
      <c r="A10" s="18">
        <v>13</v>
      </c>
      <c r="B10" s="1" t="s">
        <v>109</v>
      </c>
      <c r="C10" s="1" t="s">
        <v>35</v>
      </c>
      <c r="D10" s="33" t="s">
        <v>51</v>
      </c>
      <c r="E10" s="23">
        <f>'202601'!K10</f>
        <v>19</v>
      </c>
      <c r="F10" s="23">
        <f>'202602'!K10</f>
        <v>38</v>
      </c>
      <c r="G10" s="24">
        <f>'202603'!K10</f>
        <v>36</v>
      </c>
      <c r="H10" s="24">
        <f>'202604'!K10</f>
        <v>34</v>
      </c>
      <c r="I10" s="99">
        <f>'202605'!K10</f>
        <v>53</v>
      </c>
      <c r="J10" s="24">
        <f>'202606'!K10</f>
        <v>58</v>
      </c>
      <c r="K10" s="23">
        <f>'202607'!K10</f>
        <v>9</v>
      </c>
      <c r="L10" s="23">
        <f>'202608'!K10</f>
        <v>12</v>
      </c>
      <c r="M10" s="23">
        <f>'202609'!K10</f>
        <v>14</v>
      </c>
      <c r="N10" s="23"/>
      <c r="O10" s="23"/>
      <c r="P10" s="38"/>
      <c r="Q10" s="51">
        <f t="shared" si="4"/>
        <v>58</v>
      </c>
      <c r="R10" s="12">
        <f t="shared" si="0"/>
        <v>9</v>
      </c>
      <c r="S10" s="10">
        <f t="shared" si="1"/>
        <v>30.333333333333332</v>
      </c>
      <c r="T10" s="46">
        <f t="shared" si="2"/>
        <v>17.923448328934921</v>
      </c>
      <c r="U10" s="94" t="s">
        <v>253</v>
      </c>
      <c r="V10" s="21" t="str">
        <f t="shared" si="3"/>
        <v>미달성</v>
      </c>
    </row>
    <row r="11" spans="1:24" ht="20.100000000000001" customHeight="1" x14ac:dyDescent="0.3">
      <c r="A11" s="18">
        <v>14</v>
      </c>
      <c r="B11" s="1" t="s">
        <v>110</v>
      </c>
      <c r="C11" s="1" t="s">
        <v>65</v>
      </c>
      <c r="D11" s="33" t="s">
        <v>85</v>
      </c>
      <c r="E11" s="23">
        <f>'202601'!K11</f>
        <v>18</v>
      </c>
      <c r="F11" s="23">
        <f>'202602'!K11</f>
        <v>36</v>
      </c>
      <c r="G11" s="24">
        <f>'202603'!K11</f>
        <v>37</v>
      </c>
      <c r="H11" s="24">
        <f>'202604'!K11</f>
        <v>33</v>
      </c>
      <c r="I11" s="99">
        <f>'202605'!K11</f>
        <v>42</v>
      </c>
      <c r="J11" s="24">
        <f>'202606'!K11</f>
        <v>44</v>
      </c>
      <c r="K11" s="23">
        <f>'202607'!K11</f>
        <v>10</v>
      </c>
      <c r="L11" s="23">
        <f>'202608'!K11</f>
        <v>11</v>
      </c>
      <c r="M11" s="23">
        <f>'202609'!K11</f>
        <v>11</v>
      </c>
      <c r="N11" s="23"/>
      <c r="O11" s="23"/>
      <c r="P11" s="38"/>
      <c r="Q11" s="51">
        <f t="shared" si="4"/>
        <v>44</v>
      </c>
      <c r="R11" s="12">
        <f t="shared" si="0"/>
        <v>10</v>
      </c>
      <c r="S11" s="10">
        <f t="shared" si="1"/>
        <v>26.888888888888889</v>
      </c>
      <c r="T11" s="46">
        <f t="shared" si="2"/>
        <v>14.198982749165909</v>
      </c>
      <c r="U11" s="94" t="s">
        <v>253</v>
      </c>
      <c r="V11" s="21" t="str">
        <f t="shared" si="3"/>
        <v>미달성</v>
      </c>
      <c r="X11" s="17">
        <v>1</v>
      </c>
    </row>
    <row r="12" spans="1:24" ht="20.100000000000001" customHeight="1" x14ac:dyDescent="0.3">
      <c r="A12" s="18">
        <v>17</v>
      </c>
      <c r="B12" s="108" t="s">
        <v>111</v>
      </c>
      <c r="C12" s="1" t="s">
        <v>40</v>
      </c>
      <c r="D12" s="33" t="s">
        <v>52</v>
      </c>
      <c r="E12" s="23">
        <f>'202601'!K12</f>
        <v>12</v>
      </c>
      <c r="F12" s="23">
        <f>'202602'!K12</f>
        <v>14</v>
      </c>
      <c r="G12" s="24">
        <f>'202603'!K12</f>
        <v>15</v>
      </c>
      <c r="H12" s="24">
        <f>'202604'!K12</f>
        <v>12</v>
      </c>
      <c r="I12" s="24">
        <f>'202605'!K12</f>
        <v>31</v>
      </c>
      <c r="J12" s="24">
        <f>'202606'!K12</f>
        <v>23</v>
      </c>
      <c r="K12" s="23">
        <f>'202607'!K12</f>
        <v>8</v>
      </c>
      <c r="L12" s="23">
        <f>'202608'!K12</f>
        <v>8</v>
      </c>
      <c r="M12" s="23">
        <f>'202609'!K12</f>
        <v>11</v>
      </c>
      <c r="N12" s="23"/>
      <c r="O12" s="23"/>
      <c r="P12" s="38"/>
      <c r="Q12" s="51">
        <f t="shared" si="4"/>
        <v>31</v>
      </c>
      <c r="R12" s="12">
        <f t="shared" si="0"/>
        <v>8</v>
      </c>
      <c r="S12" s="10">
        <f t="shared" si="1"/>
        <v>14.888888888888889</v>
      </c>
      <c r="T12" s="46">
        <f t="shared" si="2"/>
        <v>7.5240355601971416</v>
      </c>
      <c r="U12" s="94" t="s">
        <v>254</v>
      </c>
      <c r="V12" s="21" t="str">
        <f t="shared" si="3"/>
        <v>달성</v>
      </c>
    </row>
    <row r="13" spans="1:24" ht="20.100000000000001" customHeight="1" x14ac:dyDescent="0.3">
      <c r="A13" s="18">
        <v>18</v>
      </c>
      <c r="B13" s="109"/>
      <c r="C13" s="1" t="s">
        <v>13</v>
      </c>
      <c r="D13" s="33" t="s">
        <v>53</v>
      </c>
      <c r="E13" s="23">
        <f>'202601'!K13</f>
        <v>23</v>
      </c>
      <c r="F13" s="23">
        <f>'202602'!K13</f>
        <v>19</v>
      </c>
      <c r="G13" s="24">
        <f>'202603'!K13</f>
        <v>18</v>
      </c>
      <c r="H13" s="24">
        <f>'202604'!K13</f>
        <v>13</v>
      </c>
      <c r="I13" s="24">
        <f>'202605'!K13</f>
        <v>24</v>
      </c>
      <c r="J13" s="24">
        <f>'202606'!K13</f>
        <v>26</v>
      </c>
      <c r="K13" s="23">
        <f>'202607'!K13</f>
        <v>21</v>
      </c>
      <c r="L13" s="23">
        <f>'202608'!K13</f>
        <v>10</v>
      </c>
      <c r="M13" s="23">
        <f>'202609'!K13</f>
        <v>15</v>
      </c>
      <c r="N13" s="23"/>
      <c r="O13" s="23"/>
      <c r="P13" s="38"/>
      <c r="Q13" s="51">
        <f t="shared" si="4"/>
        <v>26</v>
      </c>
      <c r="R13" s="12">
        <f t="shared" si="0"/>
        <v>10</v>
      </c>
      <c r="S13" s="10">
        <f t="shared" si="1"/>
        <v>18.777777777777779</v>
      </c>
      <c r="T13" s="46">
        <f t="shared" si="2"/>
        <v>5.3333333333333348</v>
      </c>
      <c r="U13" s="94" t="s">
        <v>254</v>
      </c>
      <c r="V13" s="21" t="str">
        <f t="shared" si="3"/>
        <v>미달성</v>
      </c>
    </row>
    <row r="14" spans="1:24" ht="20.100000000000001" customHeight="1" x14ac:dyDescent="0.3">
      <c r="A14" s="18">
        <v>20</v>
      </c>
      <c r="B14" s="109"/>
      <c r="C14" s="1" t="s">
        <v>14</v>
      </c>
      <c r="D14" s="33" t="s">
        <v>54</v>
      </c>
      <c r="E14" s="23">
        <f>'202601'!K14</f>
        <v>14</v>
      </c>
      <c r="F14" s="23">
        <f>'202602'!K14</f>
        <v>17</v>
      </c>
      <c r="G14" s="24">
        <f>'202603'!K14</f>
        <v>9</v>
      </c>
      <c r="H14" s="24">
        <f>'202604'!K14</f>
        <v>15</v>
      </c>
      <c r="I14" s="24">
        <f>'202605'!K14</f>
        <v>33</v>
      </c>
      <c r="J14" s="24">
        <f>'202606'!K14</f>
        <v>35</v>
      </c>
      <c r="K14" s="23">
        <f>'202607'!K14</f>
        <v>6</v>
      </c>
      <c r="L14" s="23">
        <f>'202608'!K14</f>
        <v>10</v>
      </c>
      <c r="M14" s="23">
        <f>'202609'!K14</f>
        <v>18</v>
      </c>
      <c r="N14" s="23"/>
      <c r="O14" s="23"/>
      <c r="P14" s="38"/>
      <c r="Q14" s="51">
        <f t="shared" si="4"/>
        <v>35</v>
      </c>
      <c r="R14" s="12">
        <f t="shared" si="0"/>
        <v>6</v>
      </c>
      <c r="S14" s="10">
        <f t="shared" si="1"/>
        <v>17.444444444444443</v>
      </c>
      <c r="T14" s="46">
        <f t="shared" si="2"/>
        <v>10.162567479617431</v>
      </c>
      <c r="U14" s="94" t="s">
        <v>254</v>
      </c>
      <c r="V14" s="21" t="str">
        <f t="shared" si="3"/>
        <v>미달성</v>
      </c>
    </row>
    <row r="15" spans="1:24" ht="20.100000000000001" customHeight="1" x14ac:dyDescent="0.3">
      <c r="A15" s="18">
        <v>21</v>
      </c>
      <c r="B15" s="109"/>
      <c r="C15" s="1" t="s">
        <v>15</v>
      </c>
      <c r="D15" s="33" t="s">
        <v>55</v>
      </c>
      <c r="E15" s="23">
        <f>'202601'!K15</f>
        <v>15</v>
      </c>
      <c r="F15" s="23">
        <f>'202602'!K15</f>
        <v>16</v>
      </c>
      <c r="G15" s="24">
        <f>'202603'!K15</f>
        <v>12</v>
      </c>
      <c r="H15" s="24">
        <f>'202604'!K15</f>
        <v>12</v>
      </c>
      <c r="I15" s="24">
        <f>'202605'!K15</f>
        <v>30</v>
      </c>
      <c r="J15" s="24">
        <f>'202606'!K15</f>
        <v>39</v>
      </c>
      <c r="K15" s="23">
        <f>'202607'!K15</f>
        <v>7</v>
      </c>
      <c r="L15" s="23">
        <f>'202608'!K15</f>
        <v>11</v>
      </c>
      <c r="M15" s="23">
        <f>'202609'!K15</f>
        <v>22</v>
      </c>
      <c r="N15" s="23"/>
      <c r="O15" s="23"/>
      <c r="P15" s="38"/>
      <c r="Q15" s="51">
        <f t="shared" si="4"/>
        <v>39</v>
      </c>
      <c r="R15" s="12">
        <f t="shared" si="0"/>
        <v>7</v>
      </c>
      <c r="S15" s="10">
        <f t="shared" si="1"/>
        <v>18.222222222222221</v>
      </c>
      <c r="T15" s="46">
        <f t="shared" si="2"/>
        <v>10.34139470499238</v>
      </c>
      <c r="U15" s="94" t="s">
        <v>254</v>
      </c>
      <c r="V15" s="21" t="str">
        <f t="shared" si="3"/>
        <v>미달성</v>
      </c>
    </row>
    <row r="16" spans="1:24" ht="20.100000000000001" customHeight="1" x14ac:dyDescent="0.3">
      <c r="A16" s="18">
        <v>22</v>
      </c>
      <c r="B16" s="110"/>
      <c r="C16" s="91" t="s">
        <v>16</v>
      </c>
      <c r="D16" s="92" t="s">
        <v>86</v>
      </c>
      <c r="E16" s="87">
        <f>'202601'!K16</f>
        <v>15</v>
      </c>
      <c r="F16" s="87">
        <f>'202602'!K16</f>
        <v>16</v>
      </c>
      <c r="G16" s="88">
        <f>'202603'!K16</f>
        <v>17</v>
      </c>
      <c r="H16" s="88">
        <f>'202604'!K16</f>
        <v>10</v>
      </c>
      <c r="I16" s="88">
        <f>'202605'!K16</f>
        <v>18</v>
      </c>
      <c r="J16" s="24">
        <f>'202606'!K16</f>
        <v>32</v>
      </c>
      <c r="K16" s="23">
        <f>'202607'!K16</f>
        <v>8</v>
      </c>
      <c r="L16" s="23">
        <f>'202608'!K16</f>
        <v>12</v>
      </c>
      <c r="M16" s="23">
        <f>'202609'!K16</f>
        <v>34</v>
      </c>
      <c r="N16" s="87"/>
      <c r="O16" s="87"/>
      <c r="P16" s="19"/>
      <c r="Q16" s="89">
        <f t="shared" si="4"/>
        <v>34</v>
      </c>
      <c r="R16" s="90">
        <f t="shared" si="0"/>
        <v>8</v>
      </c>
      <c r="S16" s="19">
        <f>AVERAGE(E16:P16)</f>
        <v>18</v>
      </c>
      <c r="T16" s="46">
        <f t="shared" si="2"/>
        <v>9.1241437954473295</v>
      </c>
      <c r="U16" s="94" t="s">
        <v>255</v>
      </c>
      <c r="V16" s="21" t="str">
        <f t="shared" si="3"/>
        <v>미달성</v>
      </c>
    </row>
    <row r="17" spans="1:22" ht="20.100000000000001" customHeight="1" x14ac:dyDescent="0.3">
      <c r="A17" s="18">
        <v>23</v>
      </c>
      <c r="B17" s="108" t="s">
        <v>112</v>
      </c>
      <c r="C17" s="1" t="s">
        <v>41</v>
      </c>
      <c r="D17" s="33" t="s">
        <v>56</v>
      </c>
      <c r="E17" s="23">
        <f>'202601'!K17</f>
        <v>28</v>
      </c>
      <c r="F17" s="23">
        <f>'202602'!K17</f>
        <v>74</v>
      </c>
      <c r="G17" s="24">
        <f>'202603'!K17</f>
        <v>35</v>
      </c>
      <c r="H17" s="24">
        <f>'202604'!K17</f>
        <v>31</v>
      </c>
      <c r="I17" s="99">
        <f>'202605'!K17</f>
        <v>80</v>
      </c>
      <c r="J17" s="24">
        <f>'202606'!K17</f>
        <v>76</v>
      </c>
      <c r="K17" s="23">
        <f>'202607'!K17</f>
        <v>15</v>
      </c>
      <c r="L17" s="23">
        <f>'202608'!K17</f>
        <v>23</v>
      </c>
      <c r="M17" s="23">
        <f>'202609'!K17</f>
        <v>35</v>
      </c>
      <c r="N17" s="23"/>
      <c r="O17" s="23"/>
      <c r="P17" s="38"/>
      <c r="Q17" s="51">
        <f t="shared" si="4"/>
        <v>80</v>
      </c>
      <c r="R17" s="12">
        <f t="shared" si="0"/>
        <v>15</v>
      </c>
      <c r="S17" s="10">
        <f t="shared" si="1"/>
        <v>44.111111111111114</v>
      </c>
      <c r="T17" s="46">
        <f t="shared" si="2"/>
        <v>25.221243250702596</v>
      </c>
      <c r="U17" s="94" t="s">
        <v>253</v>
      </c>
      <c r="V17" s="21" t="str">
        <f t="shared" si="3"/>
        <v>미달성</v>
      </c>
    </row>
    <row r="18" spans="1:22" ht="20.100000000000001" customHeight="1" x14ac:dyDescent="0.3">
      <c r="A18" s="18">
        <v>24</v>
      </c>
      <c r="B18" s="110"/>
      <c r="C18" s="1" t="s">
        <v>17</v>
      </c>
      <c r="D18" s="33" t="s">
        <v>57</v>
      </c>
      <c r="E18" s="23">
        <f>'202601'!K18</f>
        <v>31</v>
      </c>
      <c r="F18" s="23">
        <f>'202602'!K18</f>
        <v>73</v>
      </c>
      <c r="G18" s="24">
        <f>'202603'!K18</f>
        <v>35</v>
      </c>
      <c r="H18" s="24">
        <f>'202604'!K18</f>
        <v>32</v>
      </c>
      <c r="I18" s="99">
        <f>'202605'!K18</f>
        <v>82</v>
      </c>
      <c r="J18" s="24">
        <f>'202606'!K18</f>
        <v>85</v>
      </c>
      <c r="K18" s="23">
        <f>'202607'!K18</f>
        <v>18</v>
      </c>
      <c r="L18" s="23">
        <f>'202608'!K18</f>
        <v>21</v>
      </c>
      <c r="M18" s="23">
        <f>'202609'!K18</f>
        <v>32</v>
      </c>
      <c r="N18" s="23"/>
      <c r="O18" s="23"/>
      <c r="P18" s="38"/>
      <c r="Q18" s="51">
        <f t="shared" si="4"/>
        <v>85</v>
      </c>
      <c r="R18" s="12">
        <f t="shared" si="0"/>
        <v>18</v>
      </c>
      <c r="S18" s="10">
        <f t="shared" si="1"/>
        <v>45.444444444444443</v>
      </c>
      <c r="T18" s="46">
        <f t="shared" si="2"/>
        <v>26.669791483582653</v>
      </c>
      <c r="U18" s="94" t="s">
        <v>253</v>
      </c>
      <c r="V18" s="21" t="str">
        <f t="shared" si="3"/>
        <v>미달성</v>
      </c>
    </row>
    <row r="19" spans="1:22" ht="20.100000000000001" customHeight="1" x14ac:dyDescent="0.3">
      <c r="A19" s="18">
        <v>25</v>
      </c>
      <c r="B19" s="1" t="s">
        <v>113</v>
      </c>
      <c r="C19" s="1" t="s">
        <v>36</v>
      </c>
      <c r="D19" s="33" t="s">
        <v>58</v>
      </c>
      <c r="E19" s="23">
        <f>'202601'!K19</f>
        <v>8</v>
      </c>
      <c r="F19" s="23">
        <f>'202602'!K19</f>
        <v>16</v>
      </c>
      <c r="G19" s="24">
        <f>'202603'!K19</f>
        <v>32</v>
      </c>
      <c r="H19" s="24">
        <f>'202604'!K19</f>
        <v>34</v>
      </c>
      <c r="I19" s="24">
        <f>'202605'!K19</f>
        <v>13</v>
      </c>
      <c r="J19" s="24">
        <f>'202606'!K19</f>
        <v>28</v>
      </c>
      <c r="K19" s="23">
        <f>'202607'!K19</f>
        <v>10</v>
      </c>
      <c r="L19" s="23">
        <f>'202608'!K19</f>
        <v>11</v>
      </c>
      <c r="M19" s="23">
        <f>'202609'!K19</f>
        <v>31</v>
      </c>
      <c r="N19" s="23"/>
      <c r="O19" s="23"/>
      <c r="P19" s="38"/>
      <c r="Q19" s="51">
        <f t="shared" si="4"/>
        <v>34</v>
      </c>
      <c r="R19" s="12">
        <f t="shared" si="0"/>
        <v>8</v>
      </c>
      <c r="S19" s="10">
        <f t="shared" si="1"/>
        <v>20.333333333333332</v>
      </c>
      <c r="T19" s="46">
        <f t="shared" si="2"/>
        <v>10.688779163215974</v>
      </c>
      <c r="U19" s="94" t="s">
        <v>253</v>
      </c>
      <c r="V19" s="21" t="str">
        <f t="shared" si="3"/>
        <v>미달성</v>
      </c>
    </row>
    <row r="20" spans="1:22" ht="20.100000000000001" customHeight="1" x14ac:dyDescent="0.3">
      <c r="A20" s="18">
        <v>26</v>
      </c>
      <c r="B20" s="108" t="s">
        <v>114</v>
      </c>
      <c r="C20" s="1" t="s">
        <v>42</v>
      </c>
      <c r="D20" s="33" t="s">
        <v>93</v>
      </c>
      <c r="E20" s="23">
        <f>'202601'!K20</f>
        <v>7</v>
      </c>
      <c r="F20" s="23">
        <f>'202602'!K20</f>
        <v>9</v>
      </c>
      <c r="G20" s="24">
        <f>'202603'!K20</f>
        <v>17</v>
      </c>
      <c r="H20" s="24">
        <f>'202604'!K20</f>
        <v>6</v>
      </c>
      <c r="I20" s="24">
        <f>'202605'!K20</f>
        <v>33</v>
      </c>
      <c r="J20" s="24">
        <f>'202606'!K20</f>
        <v>48</v>
      </c>
      <c r="K20" s="23">
        <f>'202607'!K20</f>
        <v>9</v>
      </c>
      <c r="L20" s="23">
        <f>'202608'!K20</f>
        <v>7</v>
      </c>
      <c r="M20" s="23">
        <f>'202609'!K20</f>
        <v>8</v>
      </c>
      <c r="N20" s="23"/>
      <c r="O20" s="23"/>
      <c r="P20" s="38"/>
      <c r="Q20" s="51">
        <f t="shared" si="4"/>
        <v>48</v>
      </c>
      <c r="R20" s="12">
        <f t="shared" si="0"/>
        <v>6</v>
      </c>
      <c r="S20" s="10">
        <f t="shared" si="1"/>
        <v>16</v>
      </c>
      <c r="T20" s="46">
        <f t="shared" si="2"/>
        <v>14.739402972983676</v>
      </c>
      <c r="U20" s="94" t="s">
        <v>256</v>
      </c>
      <c r="V20" s="21" t="str">
        <f t="shared" si="3"/>
        <v>미달성</v>
      </c>
    </row>
    <row r="21" spans="1:22" ht="20.100000000000001" customHeight="1" x14ac:dyDescent="0.3">
      <c r="A21" s="18">
        <v>27</v>
      </c>
      <c r="B21" s="109"/>
      <c r="C21" s="1" t="s">
        <v>18</v>
      </c>
      <c r="D21" s="33" t="s">
        <v>95</v>
      </c>
      <c r="E21" s="23">
        <f>'202601'!K21</f>
        <v>11</v>
      </c>
      <c r="F21" s="23">
        <f>'202602'!K21</f>
        <v>12</v>
      </c>
      <c r="G21" s="24">
        <f>'202603'!K21</f>
        <v>9</v>
      </c>
      <c r="H21" s="24">
        <f>'202604'!K21</f>
        <v>8</v>
      </c>
      <c r="I21" s="24">
        <f>'202605'!K21</f>
        <v>30</v>
      </c>
      <c r="J21" s="24">
        <f>'202606'!K21</f>
        <v>42</v>
      </c>
      <c r="K21" s="23">
        <f>'202607'!K21</f>
        <v>12</v>
      </c>
      <c r="L21" s="23">
        <f>'202608'!K21</f>
        <v>9</v>
      </c>
      <c r="M21" s="23">
        <f>'202609'!K21</f>
        <v>19</v>
      </c>
      <c r="N21" s="23"/>
      <c r="O21" s="23"/>
      <c r="P21" s="38"/>
      <c r="Q21" s="51">
        <f t="shared" si="4"/>
        <v>42</v>
      </c>
      <c r="R21" s="12">
        <f t="shared" si="0"/>
        <v>8</v>
      </c>
      <c r="S21" s="10">
        <f t="shared" si="1"/>
        <v>16.888888888888889</v>
      </c>
      <c r="T21" s="46">
        <f t="shared" si="2"/>
        <v>11.688075594857825</v>
      </c>
      <c r="U21" s="94" t="s">
        <v>256</v>
      </c>
      <c r="V21" s="21" t="str">
        <f t="shared" si="3"/>
        <v>미달성</v>
      </c>
    </row>
    <row r="22" spans="1:22" ht="20.100000000000001" customHeight="1" x14ac:dyDescent="0.3">
      <c r="A22" s="18">
        <v>28</v>
      </c>
      <c r="B22" s="109"/>
      <c r="C22" s="1" t="s">
        <v>19</v>
      </c>
      <c r="D22" s="33" t="s">
        <v>94</v>
      </c>
      <c r="E22" s="23">
        <f>'202601'!K22</f>
        <v>55</v>
      </c>
      <c r="F22" s="23">
        <f>'202602'!K22</f>
        <v>14</v>
      </c>
      <c r="G22" s="24">
        <f>'202603'!K22</f>
        <v>22</v>
      </c>
      <c r="H22" s="24">
        <f>'202604'!K22</f>
        <v>22</v>
      </c>
      <c r="I22" s="24">
        <f>'202605'!K22</f>
        <v>34</v>
      </c>
      <c r="J22" s="24">
        <f>'202606'!K22</f>
        <v>44</v>
      </c>
      <c r="K22" s="23">
        <f>'202607'!K22</f>
        <v>13</v>
      </c>
      <c r="L22" s="23">
        <f>'202608'!K22</f>
        <v>22</v>
      </c>
      <c r="M22" s="23">
        <f>'202609'!K22</f>
        <v>6</v>
      </c>
      <c r="N22" s="23"/>
      <c r="O22" s="23"/>
      <c r="P22" s="38"/>
      <c r="Q22" s="51">
        <f>MAX(E22:P22)</f>
        <v>55</v>
      </c>
      <c r="R22" s="12">
        <f t="shared" si="0"/>
        <v>6</v>
      </c>
      <c r="S22" s="10">
        <f t="shared" si="1"/>
        <v>25.777777777777779</v>
      </c>
      <c r="T22" s="46">
        <f t="shared" si="2"/>
        <v>15.770048967725003</v>
      </c>
      <c r="U22" s="94" t="s">
        <v>256</v>
      </c>
      <c r="V22" s="21" t="str">
        <f t="shared" si="3"/>
        <v>미달성</v>
      </c>
    </row>
    <row r="23" spans="1:22" ht="20.100000000000001" customHeight="1" x14ac:dyDescent="0.3">
      <c r="A23" s="18">
        <v>29</v>
      </c>
      <c r="B23" s="109"/>
      <c r="C23" s="1" t="s">
        <v>63</v>
      </c>
      <c r="D23" s="33" t="s">
        <v>59</v>
      </c>
      <c r="E23" s="23">
        <f>'202601'!K23</f>
        <v>24</v>
      </c>
      <c r="F23" s="23">
        <f>'202602'!K23</f>
        <v>21</v>
      </c>
      <c r="G23" s="24">
        <f>'202603'!K23</f>
        <v>16</v>
      </c>
      <c r="H23" s="24">
        <f>'202604'!K23</f>
        <v>25</v>
      </c>
      <c r="I23" s="99">
        <f>'202605'!K23</f>
        <v>164</v>
      </c>
      <c r="J23" s="24">
        <f>'202606'!K23</f>
        <v>47</v>
      </c>
      <c r="K23" s="23">
        <f>'202607'!K23</f>
        <v>11</v>
      </c>
      <c r="L23" s="23">
        <f>'202608'!K23</f>
        <v>16</v>
      </c>
      <c r="M23" s="23">
        <f>'202609'!K23</f>
        <v>3</v>
      </c>
      <c r="N23" s="23"/>
      <c r="O23" s="23"/>
      <c r="P23" s="38"/>
      <c r="Q23" s="51">
        <f t="shared" si="4"/>
        <v>164</v>
      </c>
      <c r="R23" s="12">
        <f t="shared" si="0"/>
        <v>3</v>
      </c>
      <c r="S23" s="10">
        <f>AVERAGE(E23:P23)</f>
        <v>36.333333333333336</v>
      </c>
      <c r="T23" s="46">
        <f>STDEV(E23:P23)</f>
        <v>49.381170500505554</v>
      </c>
      <c r="U23" s="94" t="s">
        <v>256</v>
      </c>
      <c r="V23" s="21" t="str">
        <f t="shared" si="3"/>
        <v>미달성</v>
      </c>
    </row>
    <row r="24" spans="1:22" ht="20.100000000000001" customHeight="1" x14ac:dyDescent="0.3">
      <c r="A24" s="18">
        <v>30</v>
      </c>
      <c r="B24" s="109"/>
      <c r="C24" s="1" t="s">
        <v>87</v>
      </c>
      <c r="D24" s="33" t="s">
        <v>88</v>
      </c>
      <c r="E24" s="23">
        <f>'202601'!K24</f>
        <v>15</v>
      </c>
      <c r="F24" s="23">
        <f>'202602'!K24</f>
        <v>13</v>
      </c>
      <c r="G24" s="24">
        <f>'202603'!K24</f>
        <v>23</v>
      </c>
      <c r="H24" s="24">
        <f>'202604'!K24</f>
        <v>41</v>
      </c>
      <c r="I24" s="24">
        <f>'202605'!K24</f>
        <v>41</v>
      </c>
      <c r="J24" s="24">
        <f>'202606'!K24</f>
        <v>48</v>
      </c>
      <c r="K24" s="23">
        <f>'202607'!K24</f>
        <v>15</v>
      </c>
      <c r="L24" s="23">
        <f>'202608'!K24</f>
        <v>16</v>
      </c>
      <c r="M24" s="23">
        <f>'202609'!K24</f>
        <v>12</v>
      </c>
      <c r="N24" s="23"/>
      <c r="O24" s="23"/>
      <c r="P24" s="38"/>
      <c r="Q24" s="51">
        <f t="shared" si="4"/>
        <v>48</v>
      </c>
      <c r="R24" s="12">
        <f t="shared" si="0"/>
        <v>12</v>
      </c>
      <c r="S24" s="10">
        <f t="shared" si="1"/>
        <v>24.888888888888889</v>
      </c>
      <c r="T24" s="46">
        <f t="shared" si="2"/>
        <v>14.312970031098056</v>
      </c>
      <c r="U24" s="94" t="s">
        <v>256</v>
      </c>
      <c r="V24" s="21" t="str">
        <f t="shared" si="3"/>
        <v>미달성</v>
      </c>
    </row>
    <row r="25" spans="1:22" ht="20.100000000000001" customHeight="1" x14ac:dyDescent="0.3">
      <c r="A25" s="18">
        <v>31</v>
      </c>
      <c r="B25" s="109"/>
      <c r="C25" s="1" t="s">
        <v>20</v>
      </c>
      <c r="D25" s="33" t="s">
        <v>60</v>
      </c>
      <c r="E25" s="23">
        <f>'202601'!K25</f>
        <v>19</v>
      </c>
      <c r="F25" s="23">
        <f>'202602'!K25</f>
        <v>14</v>
      </c>
      <c r="G25" s="24">
        <f>'202603'!K25</f>
        <v>24</v>
      </c>
      <c r="H25" s="24">
        <f>'202604'!K25</f>
        <v>57</v>
      </c>
      <c r="I25" s="24">
        <f>'202605'!K25</f>
        <v>33</v>
      </c>
      <c r="J25" s="24">
        <f>'202606'!K25</f>
        <v>37</v>
      </c>
      <c r="K25" s="23">
        <f>'202607'!K25</f>
        <v>9</v>
      </c>
      <c r="L25" s="23">
        <f>'202608'!K25</f>
        <v>12</v>
      </c>
      <c r="M25" s="23">
        <f>'202609'!K25</f>
        <v>5</v>
      </c>
      <c r="N25" s="23"/>
      <c r="O25" s="23"/>
      <c r="P25" s="38"/>
      <c r="Q25" s="51">
        <f t="shared" si="4"/>
        <v>57</v>
      </c>
      <c r="R25" s="12">
        <f t="shared" si="0"/>
        <v>5</v>
      </c>
      <c r="S25" s="10">
        <f t="shared" si="1"/>
        <v>23.333333333333332</v>
      </c>
      <c r="T25" s="46">
        <f t="shared" si="2"/>
        <v>16.545392107774298</v>
      </c>
      <c r="U25" s="94" t="s">
        <v>256</v>
      </c>
      <c r="V25" s="21" t="str">
        <f t="shared" si="3"/>
        <v>미달성</v>
      </c>
    </row>
    <row r="26" spans="1:22" ht="16.5" customHeight="1" x14ac:dyDescent="0.3">
      <c r="A26" s="18">
        <v>32</v>
      </c>
      <c r="B26" s="109"/>
      <c r="C26" s="1" t="s">
        <v>21</v>
      </c>
      <c r="D26" s="33" t="s">
        <v>91</v>
      </c>
      <c r="E26" s="23">
        <f>'202601'!K26</f>
        <v>9</v>
      </c>
      <c r="F26" s="23">
        <f>'202602'!K26</f>
        <v>22</v>
      </c>
      <c r="G26" s="24">
        <f>'202603'!K26</f>
        <v>23</v>
      </c>
      <c r="H26" s="24">
        <f>'202604'!K26</f>
        <v>20</v>
      </c>
      <c r="I26" s="24">
        <f>'202605'!K26</f>
        <v>52</v>
      </c>
      <c r="J26" s="24">
        <f>'202606'!K26</f>
        <v>35</v>
      </c>
      <c r="K26" s="23">
        <f>'202607'!K26</f>
        <v>24</v>
      </c>
      <c r="L26" s="23">
        <f>'202608'!K26</f>
        <v>12</v>
      </c>
      <c r="M26" s="23">
        <f>'202609'!K26</f>
        <v>12</v>
      </c>
      <c r="N26" s="23"/>
      <c r="O26" s="23"/>
      <c r="P26" s="38"/>
      <c r="Q26" s="51">
        <f t="shared" si="4"/>
        <v>52</v>
      </c>
      <c r="R26" s="12">
        <f t="shared" si="0"/>
        <v>9</v>
      </c>
      <c r="S26" s="10">
        <f t="shared" si="1"/>
        <v>23.222222222222221</v>
      </c>
      <c r="T26" s="46">
        <f t="shared" si="2"/>
        <v>13.386352917970019</v>
      </c>
      <c r="U26" s="94" t="s">
        <v>256</v>
      </c>
      <c r="V26" s="21" t="str">
        <f t="shared" si="3"/>
        <v>미달성</v>
      </c>
    </row>
    <row r="27" spans="1:22" ht="20.100000000000001" customHeight="1" x14ac:dyDescent="0.3">
      <c r="A27" s="18">
        <v>33</v>
      </c>
      <c r="B27" s="109"/>
      <c r="C27" s="91" t="s">
        <v>22</v>
      </c>
      <c r="D27" s="92" t="s">
        <v>61</v>
      </c>
      <c r="E27" s="87">
        <f>'202601'!K27</f>
        <v>19</v>
      </c>
      <c r="F27" s="87">
        <f>'202602'!K27</f>
        <v>27</v>
      </c>
      <c r="G27" s="88">
        <f>'202603'!K27</f>
        <v>41</v>
      </c>
      <c r="H27" s="88">
        <f>'202604'!K27</f>
        <v>38</v>
      </c>
      <c r="I27" s="88">
        <f>'202605'!K27</f>
        <v>44</v>
      </c>
      <c r="J27" s="24">
        <f>'202606'!K27</f>
        <v>55</v>
      </c>
      <c r="K27" s="23">
        <f>'202607'!K27</f>
        <v>20</v>
      </c>
      <c r="L27" s="23">
        <f>'202608'!K27</f>
        <v>19</v>
      </c>
      <c r="M27" s="23">
        <f>'202609'!K27</f>
        <v>19</v>
      </c>
      <c r="N27" s="87"/>
      <c r="O27" s="87"/>
      <c r="P27" s="19"/>
      <c r="Q27" s="89">
        <f t="shared" si="4"/>
        <v>55</v>
      </c>
      <c r="R27" s="90">
        <f t="shared" si="0"/>
        <v>19</v>
      </c>
      <c r="S27" s="19">
        <f>AVERAGE(E27:P27)</f>
        <v>31.333333333333332</v>
      </c>
      <c r="T27" s="46">
        <f t="shared" si="2"/>
        <v>13.518505834595775</v>
      </c>
      <c r="U27" s="94" t="s">
        <v>256</v>
      </c>
      <c r="V27" s="21" t="str">
        <f t="shared" si="3"/>
        <v>미달성</v>
      </c>
    </row>
    <row r="28" spans="1:22" ht="20.100000000000001" customHeight="1" x14ac:dyDescent="0.3">
      <c r="A28" s="18">
        <v>34</v>
      </c>
      <c r="B28" s="109"/>
      <c r="C28" s="91" t="s">
        <v>23</v>
      </c>
      <c r="D28" s="92" t="s">
        <v>24</v>
      </c>
      <c r="E28" s="87">
        <f>'202601'!K28</f>
        <v>66</v>
      </c>
      <c r="F28" s="87">
        <f>'202602'!K28</f>
        <v>64</v>
      </c>
      <c r="G28" s="98">
        <f>'202603'!K28</f>
        <v>142</v>
      </c>
      <c r="H28" s="98">
        <f>'202604'!K28</f>
        <v>130</v>
      </c>
      <c r="I28" s="98">
        <f>'202605'!K28</f>
        <v>122</v>
      </c>
      <c r="J28" s="24">
        <f>'202606'!K28</f>
        <v>61</v>
      </c>
      <c r="K28" s="23">
        <f>'202607'!K28</f>
        <v>16</v>
      </c>
      <c r="L28" s="23">
        <f>'202608'!K28</f>
        <v>20</v>
      </c>
      <c r="M28" s="23">
        <f>'202609'!K28</f>
        <v>20</v>
      </c>
      <c r="N28" s="87"/>
      <c r="O28" s="87"/>
      <c r="P28" s="19"/>
      <c r="Q28" s="89">
        <f t="shared" si="4"/>
        <v>142</v>
      </c>
      <c r="R28" s="90">
        <f t="shared" si="0"/>
        <v>16</v>
      </c>
      <c r="S28" s="19">
        <f>AVERAGE(E28:P28)</f>
        <v>71.222222222222229</v>
      </c>
      <c r="T28" s="46">
        <f t="shared" si="2"/>
        <v>49.400854693460964</v>
      </c>
      <c r="U28" s="94" t="s">
        <v>256</v>
      </c>
      <c r="V28" s="21" t="str">
        <f t="shared" si="3"/>
        <v>미달성</v>
      </c>
    </row>
    <row r="29" spans="1:22" ht="20.100000000000001" customHeight="1" x14ac:dyDescent="0.3">
      <c r="A29" s="18">
        <v>35</v>
      </c>
      <c r="B29" s="109"/>
      <c r="C29" s="1" t="s">
        <v>64</v>
      </c>
      <c r="D29" s="33" t="s">
        <v>89</v>
      </c>
      <c r="E29" s="23">
        <f>'202601'!K29</f>
        <v>44</v>
      </c>
      <c r="F29" s="23">
        <f>'202602'!K29</f>
        <v>52</v>
      </c>
      <c r="G29" s="99">
        <f>'202603'!K29</f>
        <v>89</v>
      </c>
      <c r="H29" s="99">
        <f>'202604'!K29</f>
        <v>83</v>
      </c>
      <c r="I29" s="24">
        <f>'202605'!K29</f>
        <v>59</v>
      </c>
      <c r="J29" s="24">
        <f>'202606'!K29</f>
        <v>91</v>
      </c>
      <c r="K29" s="23">
        <f>'202607'!K29</f>
        <v>19</v>
      </c>
      <c r="L29" s="23">
        <f>'202608'!K29</f>
        <v>33</v>
      </c>
      <c r="M29" s="23">
        <f>'202609'!K29</f>
        <v>33</v>
      </c>
      <c r="N29" s="23"/>
      <c r="O29" s="23"/>
      <c r="P29" s="38"/>
      <c r="Q29" s="51">
        <f t="shared" si="4"/>
        <v>91</v>
      </c>
      <c r="R29" s="12">
        <f t="shared" si="0"/>
        <v>19</v>
      </c>
      <c r="S29" s="10">
        <f>AVERAGE(E29:P29)</f>
        <v>55.888888888888886</v>
      </c>
      <c r="T29" s="46">
        <f t="shared" si="2"/>
        <v>26.549220536789989</v>
      </c>
      <c r="U29" s="94" t="s">
        <v>256</v>
      </c>
      <c r="V29" s="21" t="str">
        <f t="shared" si="3"/>
        <v>미달성</v>
      </c>
    </row>
    <row r="30" spans="1:22" ht="20.100000000000001" customHeight="1" x14ac:dyDescent="0.3">
      <c r="A30" s="18">
        <v>36</v>
      </c>
      <c r="B30" s="109"/>
      <c r="C30" s="1" t="s">
        <v>27</v>
      </c>
      <c r="D30" s="33" t="s">
        <v>62</v>
      </c>
      <c r="E30" s="23">
        <f>'202601'!K30</f>
        <v>30</v>
      </c>
      <c r="F30" s="23">
        <f>'202602'!K30</f>
        <v>45</v>
      </c>
      <c r="G30" s="24">
        <f>'202603'!K30</f>
        <v>50</v>
      </c>
      <c r="H30" s="24">
        <f>'202604'!K30</f>
        <v>59</v>
      </c>
      <c r="I30" s="24">
        <f>'202605'!K30</f>
        <v>59</v>
      </c>
      <c r="J30" s="24">
        <f>'202606'!K30</f>
        <v>65</v>
      </c>
      <c r="K30" s="23">
        <f>'202607'!K30</f>
        <v>15</v>
      </c>
      <c r="L30" s="23">
        <f>'202608'!K30</f>
        <v>21</v>
      </c>
      <c r="M30" s="23">
        <f>'202609'!K30</f>
        <v>21</v>
      </c>
      <c r="N30" s="23"/>
      <c r="O30" s="23"/>
      <c r="P30" s="38"/>
      <c r="Q30" s="51">
        <f t="shared" si="4"/>
        <v>65</v>
      </c>
      <c r="R30" s="12">
        <f t="shared" si="0"/>
        <v>15</v>
      </c>
      <c r="S30" s="10">
        <f t="shared" si="1"/>
        <v>40.555555555555557</v>
      </c>
      <c r="T30" s="46">
        <f t="shared" si="2"/>
        <v>19.092610554289788</v>
      </c>
      <c r="U30" s="94" t="s">
        <v>256</v>
      </c>
      <c r="V30" s="21" t="str">
        <f t="shared" si="3"/>
        <v>미달성</v>
      </c>
    </row>
    <row r="31" spans="1:22" s="20" customFormat="1" ht="20.100000000000001" customHeight="1" x14ac:dyDescent="0.3">
      <c r="A31" s="18">
        <v>37</v>
      </c>
      <c r="B31" s="109"/>
      <c r="C31" s="1" t="s">
        <v>25</v>
      </c>
      <c r="D31" s="33" t="s">
        <v>26</v>
      </c>
      <c r="E31" s="23">
        <f>'202601'!K31</f>
        <v>31</v>
      </c>
      <c r="F31" s="23">
        <f>'202602'!K31</f>
        <v>46</v>
      </c>
      <c r="G31" s="24">
        <f>'202603'!K31</f>
        <v>51</v>
      </c>
      <c r="H31" s="24">
        <f>'202604'!K31</f>
        <v>56</v>
      </c>
      <c r="I31" s="24">
        <f>'202605'!K31</f>
        <v>37</v>
      </c>
      <c r="J31" s="24">
        <f>'202606'!K31</f>
        <v>64</v>
      </c>
      <c r="K31" s="23">
        <f>'202607'!K31</f>
        <v>17</v>
      </c>
      <c r="L31" s="23">
        <f>'202608'!K31</f>
        <v>20</v>
      </c>
      <c r="M31" s="23">
        <f>'202609'!K31</f>
        <v>20</v>
      </c>
      <c r="N31" s="23"/>
      <c r="O31" s="23"/>
      <c r="P31" s="38"/>
      <c r="Q31" s="51">
        <f t="shared" si="4"/>
        <v>64</v>
      </c>
      <c r="R31" s="12">
        <f t="shared" si="0"/>
        <v>17</v>
      </c>
      <c r="S31" s="10">
        <f t="shared" si="1"/>
        <v>38</v>
      </c>
      <c r="T31" s="46">
        <f t="shared" si="2"/>
        <v>17.219175357722563</v>
      </c>
      <c r="U31" s="94" t="s">
        <v>256</v>
      </c>
      <c r="V31" s="21" t="str">
        <f t="shared" si="3"/>
        <v>미달성</v>
      </c>
    </row>
    <row r="32" spans="1:22" s="20" customFormat="1" ht="20.100000000000001" customHeight="1" x14ac:dyDescent="0.3">
      <c r="A32" s="18">
        <v>38</v>
      </c>
      <c r="B32" s="110"/>
      <c r="C32" s="91" t="s">
        <v>28</v>
      </c>
      <c r="D32" s="92" t="s">
        <v>90</v>
      </c>
      <c r="E32" s="87">
        <f>'202601'!K32</f>
        <v>36</v>
      </c>
      <c r="F32" s="87">
        <f>'202602'!K32</f>
        <v>42</v>
      </c>
      <c r="G32" s="88">
        <f>'202603'!K32</f>
        <v>49</v>
      </c>
      <c r="H32" s="88">
        <f>'202604'!K32</f>
        <v>54</v>
      </c>
      <c r="I32" s="88">
        <f>'202605'!K32</f>
        <v>37</v>
      </c>
      <c r="J32" s="24">
        <f>'202606'!K32</f>
        <v>64</v>
      </c>
      <c r="K32" s="23">
        <f>'202607'!K32</f>
        <v>18</v>
      </c>
      <c r="L32" s="23">
        <f>'202608'!K32</f>
        <v>19</v>
      </c>
      <c r="M32" s="23">
        <f>'202609'!K32</f>
        <v>19</v>
      </c>
      <c r="N32" s="87"/>
      <c r="O32" s="87"/>
      <c r="P32" s="19"/>
      <c r="Q32" s="89">
        <f t="shared" si="4"/>
        <v>64</v>
      </c>
      <c r="R32" s="90">
        <f t="shared" si="0"/>
        <v>18</v>
      </c>
      <c r="S32" s="19">
        <f>AVERAGE(E32:P32)</f>
        <v>37.555555555555557</v>
      </c>
      <c r="T32" s="46">
        <f t="shared" si="2"/>
        <v>16.561333816386224</v>
      </c>
      <c r="U32" s="94" t="s">
        <v>257</v>
      </c>
      <c r="V32" s="21" t="str">
        <f t="shared" si="3"/>
        <v>미달성</v>
      </c>
    </row>
    <row r="33" spans="1:22" ht="20.100000000000001" customHeight="1" x14ac:dyDescent="0.3">
      <c r="A33" s="18">
        <v>39</v>
      </c>
      <c r="B33" s="1" t="s">
        <v>115</v>
      </c>
      <c r="C33" s="1" t="s">
        <v>43</v>
      </c>
      <c r="D33" s="33" t="s">
        <v>30</v>
      </c>
      <c r="E33" s="23">
        <f>'202601'!K33</f>
        <v>45</v>
      </c>
      <c r="F33" s="23">
        <f>'202602'!K33</f>
        <v>13</v>
      </c>
      <c r="G33" s="24">
        <f>'202603'!K33</f>
        <v>23</v>
      </c>
      <c r="H33" s="24">
        <f>'202604'!K33</f>
        <v>72</v>
      </c>
      <c r="I33" s="24">
        <f>'202605'!K33</f>
        <v>47</v>
      </c>
      <c r="J33" s="24">
        <f>'202606'!K33</f>
        <v>39</v>
      </c>
      <c r="K33" s="23">
        <f>'202607'!K33</f>
        <v>18</v>
      </c>
      <c r="L33" s="23">
        <f>'202608'!K33</f>
        <v>12</v>
      </c>
      <c r="M33" s="23">
        <f>'202609'!K33</f>
        <v>12</v>
      </c>
      <c r="N33" s="23"/>
      <c r="O33" s="23"/>
      <c r="P33" s="38"/>
      <c r="Q33" s="51">
        <f t="shared" si="4"/>
        <v>72</v>
      </c>
      <c r="R33" s="12">
        <f t="shared" si="0"/>
        <v>12</v>
      </c>
      <c r="S33" s="10">
        <f t="shared" si="1"/>
        <v>31.222222222222221</v>
      </c>
      <c r="T33" s="46">
        <f t="shared" si="2"/>
        <v>20.843330934484641</v>
      </c>
      <c r="U33" s="94" t="s">
        <v>258</v>
      </c>
      <c r="V33" s="21" t="str">
        <f t="shared" si="3"/>
        <v>미달성</v>
      </c>
    </row>
    <row r="34" spans="1:22" ht="20.100000000000001" customHeight="1" x14ac:dyDescent="0.3">
      <c r="A34" s="18">
        <v>44</v>
      </c>
      <c r="B34" s="1" t="s">
        <v>116</v>
      </c>
      <c r="C34" s="1" t="s">
        <v>31</v>
      </c>
      <c r="D34" s="33" t="s">
        <v>32</v>
      </c>
      <c r="E34" s="23">
        <f>'202601'!K34</f>
        <v>49</v>
      </c>
      <c r="F34" s="23">
        <f>'202602'!K34</f>
        <v>13</v>
      </c>
      <c r="G34" s="24">
        <f>'202603'!K34</f>
        <v>32</v>
      </c>
      <c r="H34" s="24">
        <f>'202604'!K34</f>
        <v>39</v>
      </c>
      <c r="I34" s="24">
        <f>'202605'!K34</f>
        <v>32</v>
      </c>
      <c r="J34" s="24">
        <f>'202606'!K34</f>
        <v>41</v>
      </c>
      <c r="K34" s="23">
        <f>'202607'!K34</f>
        <v>34</v>
      </c>
      <c r="L34" s="23">
        <f>'202608'!K34</f>
        <v>29</v>
      </c>
      <c r="M34" s="23">
        <f>'202609'!K34</f>
        <v>29</v>
      </c>
      <c r="N34" s="23"/>
      <c r="O34" s="23"/>
      <c r="P34" s="38"/>
      <c r="Q34" s="51">
        <f t="shared" si="4"/>
        <v>49</v>
      </c>
      <c r="R34" s="12">
        <f t="shared" si="0"/>
        <v>13</v>
      </c>
      <c r="S34" s="10">
        <f>AVERAGE(E34:P34)</f>
        <v>33.111111111111114</v>
      </c>
      <c r="T34" s="46">
        <f t="shared" si="2"/>
        <v>9.9428924921831019</v>
      </c>
      <c r="U34" s="94" t="s">
        <v>258</v>
      </c>
      <c r="V34" s="21" t="str">
        <f t="shared" si="3"/>
        <v>미달성</v>
      </c>
    </row>
    <row r="35" spans="1:22" ht="20.100000000000001" customHeight="1" x14ac:dyDescent="0.3">
      <c r="A35" s="18">
        <v>46</v>
      </c>
      <c r="B35" s="1" t="s">
        <v>117</v>
      </c>
      <c r="C35" s="1" t="s">
        <v>103</v>
      </c>
      <c r="D35" s="33" t="s">
        <v>122</v>
      </c>
      <c r="E35" s="23">
        <f>'202601'!K35</f>
        <v>10</v>
      </c>
      <c r="F35" s="23">
        <f>'202602'!K35</f>
        <v>8</v>
      </c>
      <c r="G35" s="24">
        <f>'202603'!K35</f>
        <v>17</v>
      </c>
      <c r="H35" s="24">
        <f>'202604'!K35</f>
        <v>19</v>
      </c>
      <c r="I35" s="24">
        <f>'202605'!K35</f>
        <v>23</v>
      </c>
      <c r="J35" s="24">
        <f>'202606'!K35</f>
        <v>26</v>
      </c>
      <c r="K35" s="23">
        <f>'202607'!K35</f>
        <v>23</v>
      </c>
      <c r="L35" s="23">
        <f>'202608'!K35</f>
        <v>9</v>
      </c>
      <c r="M35" s="23">
        <f>'202609'!K35</f>
        <v>9</v>
      </c>
      <c r="N35" s="23"/>
      <c r="O35" s="23"/>
      <c r="P35" s="38"/>
      <c r="Q35" s="51">
        <f t="shared" si="4"/>
        <v>26</v>
      </c>
      <c r="R35" s="12">
        <f t="shared" si="0"/>
        <v>8</v>
      </c>
      <c r="S35" s="10">
        <f t="shared" si="1"/>
        <v>16</v>
      </c>
      <c r="T35" s="46">
        <f t="shared" si="2"/>
        <v>7.1239034243875032</v>
      </c>
      <c r="U35" s="94" t="s">
        <v>258</v>
      </c>
      <c r="V35" s="21" t="str">
        <f t="shared" si="3"/>
        <v>미달성</v>
      </c>
    </row>
    <row r="36" spans="1:22" ht="20.100000000000001" customHeight="1" x14ac:dyDescent="0.3">
      <c r="A36" s="18">
        <v>47</v>
      </c>
      <c r="B36" s="34" t="s">
        <v>118</v>
      </c>
      <c r="C36" s="1" t="s">
        <v>104</v>
      </c>
      <c r="D36" s="33" t="s">
        <v>105</v>
      </c>
      <c r="E36" s="23">
        <f>'202601'!K36</f>
        <v>8</v>
      </c>
      <c r="F36" s="23">
        <f>'202602'!K36</f>
        <v>10</v>
      </c>
      <c r="G36" s="24">
        <f>'202603'!K36</f>
        <v>26</v>
      </c>
      <c r="H36" s="24">
        <f>'202604'!K36</f>
        <v>7</v>
      </c>
      <c r="I36" s="24">
        <f>'202605'!K36</f>
        <v>29</v>
      </c>
      <c r="J36" s="24">
        <f>'202606'!K36</f>
        <v>38</v>
      </c>
      <c r="K36" s="23">
        <f>'202607'!K36</f>
        <v>5</v>
      </c>
      <c r="L36" s="23">
        <f>'202608'!K36</f>
        <v>16</v>
      </c>
      <c r="M36" s="23">
        <f>'202609'!K36</f>
        <v>16</v>
      </c>
      <c r="N36" s="23"/>
      <c r="O36" s="23"/>
      <c r="P36" s="38"/>
      <c r="Q36" s="51">
        <f t="shared" si="4"/>
        <v>38</v>
      </c>
      <c r="R36" s="12">
        <f t="shared" si="0"/>
        <v>5</v>
      </c>
      <c r="S36" s="10">
        <f t="shared" si="1"/>
        <v>17.222222222222221</v>
      </c>
      <c r="T36" s="46">
        <f t="shared" si="2"/>
        <v>11.410278017841829</v>
      </c>
      <c r="U36" s="94" t="s">
        <v>258</v>
      </c>
      <c r="V36" s="21" t="str">
        <f t="shared" si="3"/>
        <v>미달성</v>
      </c>
    </row>
    <row r="37" spans="1:22" ht="20.100000000000001" customHeight="1" x14ac:dyDescent="0.3">
      <c r="A37" s="18">
        <v>49</v>
      </c>
      <c r="B37" s="40" t="s">
        <v>119</v>
      </c>
      <c r="C37" s="1" t="s">
        <v>98</v>
      </c>
      <c r="D37" s="33" t="s">
        <v>99</v>
      </c>
      <c r="E37" s="23">
        <f>'202601'!K37</f>
        <v>28</v>
      </c>
      <c r="F37" s="23">
        <f>'202602'!K37</f>
        <v>15</v>
      </c>
      <c r="G37" s="24">
        <f>'202603'!K37</f>
        <v>31</v>
      </c>
      <c r="H37" s="24">
        <f>'202604'!K37</f>
        <v>40</v>
      </c>
      <c r="I37" s="24">
        <f>'202605'!K37</f>
        <v>42</v>
      </c>
      <c r="J37" s="24">
        <f>'202606'!K37</f>
        <v>33</v>
      </c>
      <c r="K37" s="23">
        <f>'202607'!K37</f>
        <v>8</v>
      </c>
      <c r="L37" s="23">
        <f>'202608'!K37</f>
        <v>9</v>
      </c>
      <c r="M37" s="23">
        <f>'202609'!K37</f>
        <v>9</v>
      </c>
      <c r="N37" s="23"/>
      <c r="O37" s="23"/>
      <c r="P37" s="38"/>
      <c r="Q37" s="51">
        <f t="shared" si="4"/>
        <v>42</v>
      </c>
      <c r="R37" s="12">
        <f t="shared" si="0"/>
        <v>8</v>
      </c>
      <c r="S37" s="10">
        <f t="shared" si="1"/>
        <v>23.888888888888889</v>
      </c>
      <c r="T37" s="46">
        <f t="shared" si="2"/>
        <v>13.751767563157511</v>
      </c>
      <c r="U37" s="94" t="s">
        <v>258</v>
      </c>
      <c r="V37" s="21" t="str">
        <f t="shared" si="3"/>
        <v>미달성</v>
      </c>
    </row>
    <row r="38" spans="1:22" ht="20.100000000000001" customHeight="1" x14ac:dyDescent="0.3">
      <c r="A38" s="18">
        <v>50</v>
      </c>
      <c r="B38" s="1" t="s">
        <v>120</v>
      </c>
      <c r="C38" s="1" t="s">
        <v>29</v>
      </c>
      <c r="D38" s="33" t="s">
        <v>80</v>
      </c>
      <c r="E38" s="23">
        <f>'202601'!K38</f>
        <v>7</v>
      </c>
      <c r="F38" s="23">
        <f>'202602'!K38</f>
        <v>8</v>
      </c>
      <c r="G38" s="24">
        <f>'202603'!K38</f>
        <v>20</v>
      </c>
      <c r="H38" s="24">
        <f>'202604'!K38</f>
        <v>16</v>
      </c>
      <c r="I38" s="24">
        <f>'202605'!K38</f>
        <v>14</v>
      </c>
      <c r="J38" s="24">
        <f>'202606'!K38</f>
        <v>36</v>
      </c>
      <c r="K38" s="23">
        <f>'202607'!K38</f>
        <v>8</v>
      </c>
      <c r="L38" s="23">
        <f>'202608'!K38</f>
        <v>16</v>
      </c>
      <c r="M38" s="23">
        <f>'202609'!K38</f>
        <v>16</v>
      </c>
      <c r="N38" s="23"/>
      <c r="O38" s="23"/>
      <c r="P38" s="38"/>
      <c r="Q38" s="51">
        <f t="shared" si="4"/>
        <v>36</v>
      </c>
      <c r="R38" s="12">
        <f t="shared" si="0"/>
        <v>7</v>
      </c>
      <c r="S38" s="10">
        <f t="shared" si="1"/>
        <v>15.666666666666666</v>
      </c>
      <c r="T38" s="46">
        <f t="shared" si="2"/>
        <v>8.8600225733346747</v>
      </c>
      <c r="U38" s="94" t="s">
        <v>258</v>
      </c>
      <c r="V38" s="21" t="str">
        <f t="shared" si="3"/>
        <v>미달성</v>
      </c>
    </row>
    <row r="39" spans="1:22" ht="19.5" customHeight="1" x14ac:dyDescent="0.3">
      <c r="B39" s="35" t="s">
        <v>121</v>
      </c>
      <c r="C39" s="35" t="s">
        <v>37</v>
      </c>
      <c r="D39" s="33" t="s">
        <v>92</v>
      </c>
      <c r="E39" s="23">
        <f>'202601'!K39</f>
        <v>7</v>
      </c>
      <c r="F39" s="23">
        <f>'202602'!K39</f>
        <v>18</v>
      </c>
      <c r="G39" s="24">
        <f>'202603'!K39</f>
        <v>21</v>
      </c>
      <c r="H39" s="24">
        <f>'202604'!K39</f>
        <v>24</v>
      </c>
      <c r="I39" s="24">
        <f>'202605'!K39</f>
        <v>33</v>
      </c>
      <c r="J39" s="24">
        <f>'202606'!K39</f>
        <v>29</v>
      </c>
      <c r="K39" s="23">
        <f>'202607'!K39</f>
        <v>13</v>
      </c>
      <c r="L39" s="23">
        <f>'202608'!K39</f>
        <v>17</v>
      </c>
      <c r="M39" s="23">
        <f>'202609'!K39</f>
        <v>17</v>
      </c>
      <c r="N39" s="6"/>
      <c r="O39" s="6"/>
      <c r="P39" s="6"/>
      <c r="Q39" s="51">
        <f t="shared" si="4"/>
        <v>33</v>
      </c>
      <c r="R39" s="12">
        <f t="shared" ref="R39" si="5">MIN(E39:P39)</f>
        <v>7</v>
      </c>
      <c r="S39" s="10">
        <f>AVERAGE(E39:P39)</f>
        <v>19.888888888888889</v>
      </c>
      <c r="T39" s="46">
        <f t="shared" ref="T39" si="6">STDEV(E39:P39)</f>
        <v>7.9599692908397008</v>
      </c>
      <c r="U39" s="94" t="s">
        <v>258</v>
      </c>
      <c r="V39" s="21" t="str">
        <f t="shared" ref="V39" si="7">IF(S39&lt;=15, "달성", "미달성")</f>
        <v>미달성</v>
      </c>
    </row>
    <row r="40" spans="1:22" ht="16.5" customHeight="1" x14ac:dyDescent="0.3">
      <c r="C40" s="17"/>
    </row>
    <row r="43" spans="1:22" x14ac:dyDescent="0.3">
      <c r="P43" s="25"/>
    </row>
  </sheetData>
  <mergeCells count="5">
    <mergeCell ref="A1:T1"/>
    <mergeCell ref="B3:B6"/>
    <mergeCell ref="B12:B16"/>
    <mergeCell ref="B17:B18"/>
    <mergeCell ref="B20:B32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7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87E1-8D31-47D1-BD63-A8F8541B2961}">
  <sheetPr>
    <tabColor rgb="FFFFC000"/>
  </sheetPr>
  <dimension ref="A1:M74"/>
  <sheetViews>
    <sheetView zoomScale="145" zoomScaleNormal="14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6" sqref="L16"/>
    </sheetView>
  </sheetViews>
  <sheetFormatPr defaultRowHeight="14.25" x14ac:dyDescent="0.3"/>
  <cols>
    <col min="1" max="1" width="4.875" style="65" bestFit="1" customWidth="1"/>
    <col min="2" max="2" width="8.25" style="65" bestFit="1" customWidth="1"/>
    <col min="3" max="3" width="11.875" style="65" customWidth="1"/>
    <col min="4" max="4" width="45" style="65" customWidth="1"/>
    <col min="5" max="12" width="6.75" style="3" customWidth="1"/>
    <col min="13" max="13" width="9" style="64"/>
    <col min="14" max="16384" width="9" style="65"/>
  </cols>
  <sheetData>
    <row r="1" spans="1:13" ht="43.5" customHeight="1" x14ac:dyDescent="0.3">
      <c r="A1" s="115" t="s">
        <v>131</v>
      </c>
      <c r="B1" s="115"/>
      <c r="C1" s="115"/>
      <c r="D1" s="115"/>
      <c r="E1" s="115"/>
      <c r="F1" s="115"/>
      <c r="G1" s="115"/>
      <c r="H1" s="115"/>
    </row>
    <row r="2" spans="1:13" ht="30.75" customHeight="1" x14ac:dyDescent="0.3">
      <c r="A2" s="66" t="s">
        <v>33</v>
      </c>
      <c r="B2" s="67" t="s">
        <v>34</v>
      </c>
      <c r="C2" s="68" t="s">
        <v>0</v>
      </c>
      <c r="D2" s="69" t="s">
        <v>1</v>
      </c>
      <c r="E2" s="70">
        <v>2019</v>
      </c>
      <c r="F2" s="70">
        <v>2020</v>
      </c>
      <c r="G2" s="70">
        <v>2021</v>
      </c>
      <c r="H2" s="70">
        <v>2022</v>
      </c>
      <c r="I2" s="70">
        <v>2023</v>
      </c>
      <c r="J2" s="70">
        <v>2024</v>
      </c>
      <c r="K2" s="70">
        <v>2025</v>
      </c>
      <c r="L2" s="70">
        <v>2026</v>
      </c>
    </row>
    <row r="3" spans="1:13" x14ac:dyDescent="0.3">
      <c r="A3" s="2">
        <v>1</v>
      </c>
      <c r="B3" s="112" t="s">
        <v>66</v>
      </c>
      <c r="C3" s="71" t="s">
        <v>132</v>
      </c>
      <c r="D3" s="72" t="s">
        <v>133</v>
      </c>
      <c r="E3" s="4" t="s">
        <v>134</v>
      </c>
      <c r="F3" s="52">
        <v>11.166666666666666</v>
      </c>
      <c r="G3" s="52">
        <v>9.3333333333333339</v>
      </c>
      <c r="H3" s="73">
        <v>10.583333333333334</v>
      </c>
      <c r="I3" s="52">
        <v>8.6666666666666661</v>
      </c>
      <c r="J3" s="52">
        <v>7.166666666666667</v>
      </c>
      <c r="K3" s="52">
        <v>8.5833333333333339</v>
      </c>
      <c r="L3" s="52" t="s">
        <v>125</v>
      </c>
      <c r="M3" s="64" t="s">
        <v>135</v>
      </c>
    </row>
    <row r="4" spans="1:13" x14ac:dyDescent="0.3">
      <c r="A4" s="2">
        <v>2</v>
      </c>
      <c r="B4" s="114"/>
      <c r="C4" s="71" t="s">
        <v>38</v>
      </c>
      <c r="D4" s="72" t="s">
        <v>136</v>
      </c>
      <c r="E4" s="4" t="s">
        <v>134</v>
      </c>
      <c r="F4" s="52">
        <v>11.083333333333334</v>
      </c>
      <c r="G4" s="52">
        <v>8.4166666666666661</v>
      </c>
      <c r="H4" s="52">
        <v>8.0833333333333339</v>
      </c>
      <c r="I4" s="52">
        <v>7.666666666666667</v>
      </c>
      <c r="J4" s="52">
        <v>7.416666666666667</v>
      </c>
      <c r="K4" s="52">
        <v>7.583333333333333</v>
      </c>
      <c r="L4" s="52">
        <f>'26년 월별 색도현황'!S3</f>
        <v>17.333333333333332</v>
      </c>
    </row>
    <row r="5" spans="1:13" x14ac:dyDescent="0.3">
      <c r="A5" s="2">
        <v>3</v>
      </c>
      <c r="B5" s="114"/>
      <c r="C5" s="71" t="s">
        <v>8</v>
      </c>
      <c r="D5" s="72" t="s">
        <v>137</v>
      </c>
      <c r="E5" s="4" t="s">
        <v>134</v>
      </c>
      <c r="F5" s="52">
        <v>13.166666666666666</v>
      </c>
      <c r="G5" s="52">
        <v>10.083333333333334</v>
      </c>
      <c r="H5" s="52">
        <v>9.4166666666666661</v>
      </c>
      <c r="I5" s="52">
        <v>8.5833333333333339</v>
      </c>
      <c r="J5" s="52">
        <v>8.25</v>
      </c>
      <c r="K5" s="52">
        <v>10</v>
      </c>
      <c r="L5" s="52">
        <f>'26년 월별 색도현황'!S4</f>
        <v>16.444444444444443</v>
      </c>
    </row>
    <row r="6" spans="1:13" x14ac:dyDescent="0.3">
      <c r="A6" s="2">
        <v>4</v>
      </c>
      <c r="B6" s="114"/>
      <c r="C6" s="71" t="s">
        <v>9</v>
      </c>
      <c r="D6" s="72" t="s">
        <v>138</v>
      </c>
      <c r="E6" s="4" t="s">
        <v>134</v>
      </c>
      <c r="F6" s="52">
        <v>15.25</v>
      </c>
      <c r="G6" s="52">
        <v>10.666666666666666</v>
      </c>
      <c r="H6" s="73">
        <v>10.416666666666666</v>
      </c>
      <c r="I6" s="52">
        <v>9.3333333333333339</v>
      </c>
      <c r="J6" s="52">
        <v>7.583333333333333</v>
      </c>
      <c r="K6" s="52">
        <v>8.9166666666666661</v>
      </c>
      <c r="L6" s="52">
        <f>'26년 월별 색도현황'!S5</f>
        <v>17.333333333333332</v>
      </c>
      <c r="M6" s="64" t="s">
        <v>139</v>
      </c>
    </row>
    <row r="7" spans="1:13" x14ac:dyDescent="0.3">
      <c r="A7" s="2">
        <v>5</v>
      </c>
      <c r="B7" s="114"/>
      <c r="C7" s="71" t="s">
        <v>140</v>
      </c>
      <c r="D7" s="72" t="s">
        <v>141</v>
      </c>
      <c r="E7" s="4" t="s">
        <v>134</v>
      </c>
      <c r="F7" s="52">
        <v>15.916666666666666</v>
      </c>
      <c r="G7" s="52">
        <v>11.083333333333334</v>
      </c>
      <c r="H7" s="52">
        <v>10.916666666666666</v>
      </c>
      <c r="I7" s="52">
        <v>9.3333333333333339</v>
      </c>
      <c r="J7" s="52">
        <v>8.3333333333333339</v>
      </c>
      <c r="K7" s="52">
        <v>11</v>
      </c>
      <c r="L7" s="52" t="s">
        <v>125</v>
      </c>
    </row>
    <row r="8" spans="1:13" x14ac:dyDescent="0.3">
      <c r="A8" s="2">
        <v>6</v>
      </c>
      <c r="B8" s="114"/>
      <c r="C8" s="71" t="s">
        <v>142</v>
      </c>
      <c r="D8" s="72" t="s">
        <v>143</v>
      </c>
      <c r="E8" s="4">
        <v>18</v>
      </c>
      <c r="F8" s="52">
        <v>16.666666666666668</v>
      </c>
      <c r="G8" s="52">
        <v>19.333333333333332</v>
      </c>
      <c r="H8" s="52">
        <v>27.333333333333332</v>
      </c>
      <c r="I8" s="52">
        <v>22.25</v>
      </c>
      <c r="J8" s="52">
        <v>22.583333333333332</v>
      </c>
      <c r="K8" s="52">
        <v>23.75</v>
      </c>
      <c r="L8" s="52" t="s">
        <v>125</v>
      </c>
    </row>
    <row r="9" spans="1:13" ht="22.5" x14ac:dyDescent="0.3">
      <c r="A9" s="2">
        <v>7</v>
      </c>
      <c r="B9" s="114"/>
      <c r="C9" s="71" t="s">
        <v>144</v>
      </c>
      <c r="D9" s="72" t="s">
        <v>145</v>
      </c>
      <c r="E9" s="4" t="s">
        <v>134</v>
      </c>
      <c r="F9" s="52" t="s">
        <v>134</v>
      </c>
      <c r="G9" s="52">
        <v>20</v>
      </c>
      <c r="H9" s="52">
        <v>14.75</v>
      </c>
      <c r="I9" s="52">
        <v>13.583333333333334</v>
      </c>
      <c r="J9" s="52">
        <v>13.916666666666666</v>
      </c>
      <c r="K9" s="52">
        <v>17.916666666666668</v>
      </c>
      <c r="L9" s="52" t="s">
        <v>125</v>
      </c>
    </row>
    <row r="10" spans="1:13" x14ac:dyDescent="0.3">
      <c r="A10" s="2">
        <v>8</v>
      </c>
      <c r="B10" s="113"/>
      <c r="C10" s="74" t="s">
        <v>10</v>
      </c>
      <c r="D10" s="75" t="s">
        <v>146</v>
      </c>
      <c r="E10" s="76" t="s">
        <v>134</v>
      </c>
      <c r="F10" s="73">
        <v>18.166666666666668</v>
      </c>
      <c r="G10" s="73">
        <v>15.916666666666666</v>
      </c>
      <c r="H10" s="73">
        <v>17.916666666666668</v>
      </c>
      <c r="I10" s="73">
        <v>16.5</v>
      </c>
      <c r="J10" s="73">
        <v>16.083333333333332</v>
      </c>
      <c r="K10" s="73">
        <v>15.25</v>
      </c>
      <c r="L10" s="73">
        <f>'26년 월별 색도현황'!S6</f>
        <v>21.333333333333332</v>
      </c>
      <c r="M10" s="64" t="s">
        <v>147</v>
      </c>
    </row>
    <row r="11" spans="1:13" x14ac:dyDescent="0.3">
      <c r="A11" s="2"/>
      <c r="B11" s="77" t="s">
        <v>148</v>
      </c>
      <c r="C11" s="78" t="s">
        <v>148</v>
      </c>
      <c r="D11" s="72" t="s">
        <v>149</v>
      </c>
      <c r="E11" s="4" t="s">
        <v>134</v>
      </c>
      <c r="F11" s="52">
        <v>10.833333333333334</v>
      </c>
      <c r="G11" s="52">
        <v>8</v>
      </c>
      <c r="H11" s="4" t="s">
        <v>125</v>
      </c>
      <c r="I11" s="52" t="s">
        <v>125</v>
      </c>
      <c r="J11" s="52" t="s">
        <v>125</v>
      </c>
      <c r="K11" s="52" t="s">
        <v>125</v>
      </c>
      <c r="L11" s="52" t="s">
        <v>125</v>
      </c>
    </row>
    <row r="12" spans="1:13" x14ac:dyDescent="0.3">
      <c r="A12" s="2"/>
      <c r="B12" s="77" t="s">
        <v>150</v>
      </c>
      <c r="C12" s="78" t="s">
        <v>150</v>
      </c>
      <c r="D12" s="79" t="s">
        <v>151</v>
      </c>
      <c r="E12" s="4" t="s">
        <v>134</v>
      </c>
      <c r="F12" s="52">
        <v>10.5</v>
      </c>
      <c r="G12" s="52">
        <v>6.916666666666667</v>
      </c>
      <c r="H12" s="4" t="s">
        <v>125</v>
      </c>
      <c r="I12" s="52" t="s">
        <v>125</v>
      </c>
      <c r="J12" s="52" t="s">
        <v>125</v>
      </c>
      <c r="K12" s="52" t="s">
        <v>125</v>
      </c>
      <c r="L12" s="52" t="s">
        <v>125</v>
      </c>
    </row>
    <row r="13" spans="1:13" x14ac:dyDescent="0.3">
      <c r="A13" s="2">
        <v>9</v>
      </c>
      <c r="B13" s="80" t="s">
        <v>152</v>
      </c>
      <c r="C13" s="71" t="s">
        <v>153</v>
      </c>
      <c r="D13" s="72" t="s">
        <v>154</v>
      </c>
      <c r="E13" s="4" t="s">
        <v>134</v>
      </c>
      <c r="F13" s="52">
        <v>14.083333333333334</v>
      </c>
      <c r="G13" s="52">
        <v>11.916666666666666</v>
      </c>
      <c r="H13" s="52">
        <v>13.416666666666666</v>
      </c>
      <c r="I13" s="52">
        <v>12.75</v>
      </c>
      <c r="J13" s="52">
        <v>13.083333333333334</v>
      </c>
      <c r="K13" s="52">
        <v>9.6666666666666661</v>
      </c>
      <c r="L13" s="52" t="s">
        <v>125</v>
      </c>
    </row>
    <row r="14" spans="1:13" x14ac:dyDescent="0.3">
      <c r="A14" s="2">
        <v>10</v>
      </c>
      <c r="B14" s="112" t="s">
        <v>155</v>
      </c>
      <c r="C14" s="71" t="s">
        <v>39</v>
      </c>
      <c r="D14" s="72" t="s">
        <v>156</v>
      </c>
      <c r="E14" s="4" t="s">
        <v>134</v>
      </c>
      <c r="F14" s="52">
        <v>9.5</v>
      </c>
      <c r="G14" s="52">
        <v>8.3333333333333339</v>
      </c>
      <c r="H14" s="52">
        <v>10.5</v>
      </c>
      <c r="I14" s="52">
        <v>8.1666666666666661</v>
      </c>
      <c r="J14" s="52">
        <v>6.833333333333333</v>
      </c>
      <c r="K14" s="52">
        <v>10.666666666666666</v>
      </c>
      <c r="L14" s="52">
        <f>'26년 월별 색도현황'!S7</f>
        <v>19.111111111111111</v>
      </c>
    </row>
    <row r="15" spans="1:13" x14ac:dyDescent="0.3">
      <c r="A15" s="2">
        <v>11</v>
      </c>
      <c r="B15" s="114"/>
      <c r="C15" s="71" t="s">
        <v>11</v>
      </c>
      <c r="D15" s="72" t="s">
        <v>157</v>
      </c>
      <c r="E15" s="4" t="s">
        <v>134</v>
      </c>
      <c r="F15" s="52">
        <v>16.333333333333332</v>
      </c>
      <c r="G15" s="52">
        <v>11.25</v>
      </c>
      <c r="H15" s="52">
        <v>11</v>
      </c>
      <c r="I15" s="52">
        <v>9.5833333333333339</v>
      </c>
      <c r="J15" s="52">
        <v>9.5</v>
      </c>
      <c r="K15" s="52">
        <v>12.5</v>
      </c>
      <c r="L15" s="52">
        <f>'26년 월별 색도현황'!S8</f>
        <v>19.444444444444443</v>
      </c>
    </row>
    <row r="16" spans="1:13" s="82" customFormat="1" x14ac:dyDescent="0.3">
      <c r="A16" s="81">
        <v>12</v>
      </c>
      <c r="B16" s="113"/>
      <c r="C16" s="74" t="s">
        <v>12</v>
      </c>
      <c r="D16" s="75" t="s">
        <v>158</v>
      </c>
      <c r="E16" s="76" t="s">
        <v>134</v>
      </c>
      <c r="F16" s="73">
        <v>20.083333333333332</v>
      </c>
      <c r="G16" s="73">
        <v>16.583333333333332</v>
      </c>
      <c r="H16" s="73">
        <v>16.166666666666668</v>
      </c>
      <c r="I16" s="73">
        <v>14</v>
      </c>
      <c r="J16" s="73">
        <v>12.5</v>
      </c>
      <c r="K16" s="73">
        <v>12.583333333333334</v>
      </c>
      <c r="L16" s="52">
        <f>'26년 월별 색도현황'!S9</f>
        <v>24.111111111111111</v>
      </c>
      <c r="M16" s="64" t="s">
        <v>159</v>
      </c>
    </row>
    <row r="17" spans="1:13" x14ac:dyDescent="0.3">
      <c r="A17" s="2"/>
      <c r="B17" s="77" t="s">
        <v>160</v>
      </c>
      <c r="C17" s="78" t="s">
        <v>160</v>
      </c>
      <c r="D17" s="72" t="s">
        <v>161</v>
      </c>
      <c r="E17" s="4" t="s">
        <v>134</v>
      </c>
      <c r="F17" s="52">
        <v>12</v>
      </c>
      <c r="G17" s="52">
        <v>8.6666666666666661</v>
      </c>
      <c r="H17" s="4" t="s">
        <v>125</v>
      </c>
      <c r="I17" s="52" t="s">
        <v>125</v>
      </c>
      <c r="J17" s="52" t="s">
        <v>125</v>
      </c>
      <c r="K17" s="52" t="s">
        <v>125</v>
      </c>
      <c r="L17" s="52" t="s">
        <v>125</v>
      </c>
    </row>
    <row r="18" spans="1:13" x14ac:dyDescent="0.3">
      <c r="A18" s="2"/>
      <c r="B18" s="77" t="s">
        <v>162</v>
      </c>
      <c r="C18" s="78" t="s">
        <v>162</v>
      </c>
      <c r="D18" s="72" t="s">
        <v>163</v>
      </c>
      <c r="E18" s="4" t="s">
        <v>134</v>
      </c>
      <c r="F18" s="52">
        <v>11.333333333333334</v>
      </c>
      <c r="G18" s="52">
        <v>8.6666666666666661</v>
      </c>
      <c r="H18" s="4" t="s">
        <v>125</v>
      </c>
      <c r="I18" s="52" t="s">
        <v>125</v>
      </c>
      <c r="J18" s="52" t="s">
        <v>125</v>
      </c>
      <c r="K18" s="52" t="s">
        <v>125</v>
      </c>
      <c r="L18" s="52" t="s">
        <v>125</v>
      </c>
    </row>
    <row r="19" spans="1:13" x14ac:dyDescent="0.3">
      <c r="A19" s="2"/>
      <c r="B19" s="77" t="s">
        <v>164</v>
      </c>
      <c r="C19" s="78" t="s">
        <v>164</v>
      </c>
      <c r="D19" s="72" t="s">
        <v>165</v>
      </c>
      <c r="E19" s="4" t="s">
        <v>134</v>
      </c>
      <c r="F19" s="52">
        <v>15</v>
      </c>
      <c r="G19" s="52">
        <v>10.25</v>
      </c>
      <c r="H19" s="52">
        <v>11.416666666666666</v>
      </c>
      <c r="I19" s="52" t="s">
        <v>125</v>
      </c>
      <c r="J19" s="52" t="s">
        <v>125</v>
      </c>
      <c r="K19" s="52" t="s">
        <v>125</v>
      </c>
      <c r="L19" s="52" t="s">
        <v>125</v>
      </c>
    </row>
    <row r="20" spans="1:13" x14ac:dyDescent="0.3">
      <c r="A20" s="2"/>
      <c r="B20" s="77" t="s">
        <v>166</v>
      </c>
      <c r="C20" s="78" t="s">
        <v>166</v>
      </c>
      <c r="D20" s="72" t="s">
        <v>167</v>
      </c>
      <c r="E20" s="4" t="s">
        <v>134</v>
      </c>
      <c r="F20" s="52">
        <v>18.916666666666668</v>
      </c>
      <c r="G20" s="52">
        <v>11.666666666666666</v>
      </c>
      <c r="H20" s="52">
        <v>14.833333333333334</v>
      </c>
      <c r="I20" s="52" t="s">
        <v>125</v>
      </c>
      <c r="J20" s="52" t="s">
        <v>125</v>
      </c>
      <c r="K20" s="52" t="s">
        <v>125</v>
      </c>
      <c r="L20" s="52" t="s">
        <v>125</v>
      </c>
    </row>
    <row r="21" spans="1:13" x14ac:dyDescent="0.3">
      <c r="A21" s="2">
        <v>13</v>
      </c>
      <c r="B21" s="80" t="s">
        <v>168</v>
      </c>
      <c r="C21" s="71" t="s">
        <v>35</v>
      </c>
      <c r="D21" s="72" t="s">
        <v>51</v>
      </c>
      <c r="E21" s="4" t="s">
        <v>134</v>
      </c>
      <c r="F21" s="52">
        <v>29.083333333333332</v>
      </c>
      <c r="G21" s="52">
        <v>25.833333333333332</v>
      </c>
      <c r="H21" s="52">
        <v>25.75</v>
      </c>
      <c r="I21" s="52">
        <v>24.5</v>
      </c>
      <c r="J21" s="52">
        <v>20.666666666666668</v>
      </c>
      <c r="K21" s="52">
        <v>14.166666666666666</v>
      </c>
      <c r="L21" s="52">
        <f>'26년 월별 색도현황'!S10</f>
        <v>30.333333333333332</v>
      </c>
    </row>
    <row r="22" spans="1:13" x14ac:dyDescent="0.3">
      <c r="A22" s="2">
        <v>14</v>
      </c>
      <c r="B22" s="80" t="s">
        <v>169</v>
      </c>
      <c r="C22" s="71" t="s">
        <v>65</v>
      </c>
      <c r="D22" s="72" t="s">
        <v>85</v>
      </c>
      <c r="E22" s="4" t="s">
        <v>134</v>
      </c>
      <c r="F22" s="52" t="s">
        <v>134</v>
      </c>
      <c r="G22" s="52" t="s">
        <v>134</v>
      </c>
      <c r="H22" s="52">
        <v>14.666666666666666</v>
      </c>
      <c r="I22" s="52">
        <v>11.75</v>
      </c>
      <c r="J22" s="52">
        <v>12.666666666666666</v>
      </c>
      <c r="K22" s="52">
        <v>16.333333333333332</v>
      </c>
      <c r="L22" s="52">
        <f>'26년 월별 색도현황'!S11</f>
        <v>26.888888888888889</v>
      </c>
    </row>
    <row r="23" spans="1:13" x14ac:dyDescent="0.3">
      <c r="A23" s="2">
        <v>15</v>
      </c>
      <c r="B23" s="80" t="s">
        <v>170</v>
      </c>
      <c r="C23" s="71" t="s">
        <v>171</v>
      </c>
      <c r="D23" s="72" t="s">
        <v>172</v>
      </c>
      <c r="E23" s="4" t="s">
        <v>134</v>
      </c>
      <c r="F23" s="52">
        <v>17.636363636363637</v>
      </c>
      <c r="G23" s="52">
        <v>13.333333333333334</v>
      </c>
      <c r="H23" s="52">
        <v>14.75</v>
      </c>
      <c r="I23" s="52">
        <v>11.083333333333334</v>
      </c>
      <c r="J23" s="52">
        <v>11.166666666666666</v>
      </c>
      <c r="K23" s="52">
        <v>15.25</v>
      </c>
      <c r="L23" s="52" t="s">
        <v>125</v>
      </c>
    </row>
    <row r="24" spans="1:13" x14ac:dyDescent="0.3">
      <c r="A24" s="2">
        <v>16</v>
      </c>
      <c r="B24" s="80" t="s">
        <v>173</v>
      </c>
      <c r="C24" s="71" t="s">
        <v>174</v>
      </c>
      <c r="D24" s="72" t="s">
        <v>175</v>
      </c>
      <c r="E24" s="4" t="s">
        <v>134</v>
      </c>
      <c r="F24" s="52">
        <v>17.636363636363637</v>
      </c>
      <c r="G24" s="52">
        <v>13.333333333333334</v>
      </c>
      <c r="H24" s="52">
        <v>13.25</v>
      </c>
      <c r="I24" s="52">
        <v>9.25</v>
      </c>
      <c r="J24" s="52">
        <v>8.8333333333333339</v>
      </c>
      <c r="K24" s="52">
        <v>13.666666666666666</v>
      </c>
      <c r="L24" s="52" t="s">
        <v>125</v>
      </c>
    </row>
    <row r="25" spans="1:13" x14ac:dyDescent="0.3">
      <c r="A25" s="2">
        <v>17</v>
      </c>
      <c r="B25" s="112" t="s">
        <v>176</v>
      </c>
      <c r="C25" s="71" t="s">
        <v>40</v>
      </c>
      <c r="D25" s="72" t="s">
        <v>177</v>
      </c>
      <c r="E25" s="4" t="s">
        <v>134</v>
      </c>
      <c r="F25" s="52">
        <v>10.583333333333334</v>
      </c>
      <c r="G25" s="52">
        <v>8.75</v>
      </c>
      <c r="H25" s="52">
        <v>9.6666666666666661</v>
      </c>
      <c r="I25" s="52">
        <v>6.416666666666667</v>
      </c>
      <c r="J25" s="52">
        <v>7.25</v>
      </c>
      <c r="K25" s="52">
        <v>7</v>
      </c>
      <c r="L25" s="52">
        <f>'26년 월별 색도현황'!S12</f>
        <v>14.888888888888889</v>
      </c>
    </row>
    <row r="26" spans="1:13" x14ac:dyDescent="0.3">
      <c r="A26" s="2">
        <v>18</v>
      </c>
      <c r="B26" s="114"/>
      <c r="C26" s="71" t="s">
        <v>13</v>
      </c>
      <c r="D26" s="72" t="s">
        <v>178</v>
      </c>
      <c r="E26" s="4" t="s">
        <v>134</v>
      </c>
      <c r="F26" s="52">
        <v>9.8333333333333339</v>
      </c>
      <c r="G26" s="52">
        <v>8.5</v>
      </c>
      <c r="H26" s="52">
        <v>9.6666666666666661</v>
      </c>
      <c r="I26" s="52">
        <v>7.416666666666667</v>
      </c>
      <c r="J26" s="52">
        <v>7.5</v>
      </c>
      <c r="K26" s="52">
        <v>6.5</v>
      </c>
      <c r="L26" s="52">
        <f>'26년 월별 색도현황'!S13</f>
        <v>18.777777777777779</v>
      </c>
    </row>
    <row r="27" spans="1:13" x14ac:dyDescent="0.3">
      <c r="A27" s="2">
        <v>19</v>
      </c>
      <c r="B27" s="114"/>
      <c r="C27" s="77" t="s">
        <v>179</v>
      </c>
      <c r="D27" s="72" t="s">
        <v>180</v>
      </c>
      <c r="E27" s="4" t="s">
        <v>134</v>
      </c>
      <c r="F27" s="52" t="s">
        <v>134</v>
      </c>
      <c r="G27" s="52" t="s">
        <v>134</v>
      </c>
      <c r="H27" s="52">
        <v>9.1666666666666661</v>
      </c>
      <c r="I27" s="52">
        <v>7.833333333333333</v>
      </c>
      <c r="J27" s="52" t="s">
        <v>134</v>
      </c>
      <c r="K27" s="52" t="s">
        <v>134</v>
      </c>
      <c r="L27" s="52" t="s">
        <v>125</v>
      </c>
    </row>
    <row r="28" spans="1:13" x14ac:dyDescent="0.3">
      <c r="A28" s="2">
        <v>20</v>
      </c>
      <c r="B28" s="114"/>
      <c r="C28" s="71" t="s">
        <v>14</v>
      </c>
      <c r="D28" s="72" t="s">
        <v>181</v>
      </c>
      <c r="E28" s="4" t="s">
        <v>134</v>
      </c>
      <c r="F28" s="52">
        <v>18.833333333333332</v>
      </c>
      <c r="G28" s="52">
        <v>15.083333333333334</v>
      </c>
      <c r="H28" s="52">
        <v>16.5</v>
      </c>
      <c r="I28" s="52">
        <v>11.083333333333334</v>
      </c>
      <c r="J28" s="52">
        <v>11.416666666666666</v>
      </c>
      <c r="K28" s="52">
        <v>15.25</v>
      </c>
      <c r="L28" s="52">
        <f>'26년 월별 색도현황'!S14</f>
        <v>17.444444444444443</v>
      </c>
    </row>
    <row r="29" spans="1:13" x14ac:dyDescent="0.3">
      <c r="A29" s="2">
        <v>21</v>
      </c>
      <c r="B29" s="114"/>
      <c r="C29" s="71" t="s">
        <v>15</v>
      </c>
      <c r="D29" s="72" t="s">
        <v>182</v>
      </c>
      <c r="E29" s="4" t="s">
        <v>134</v>
      </c>
      <c r="F29" s="52">
        <v>19</v>
      </c>
      <c r="G29" s="52">
        <v>14.083333333333334</v>
      </c>
      <c r="H29" s="52">
        <v>14.916666666666666</v>
      </c>
      <c r="I29" s="52">
        <v>11.583333333333334</v>
      </c>
      <c r="J29" s="52">
        <v>12</v>
      </c>
      <c r="K29" s="52">
        <v>18</v>
      </c>
      <c r="L29" s="52">
        <f>'26년 월별 색도현황'!S15</f>
        <v>18.222222222222221</v>
      </c>
    </row>
    <row r="30" spans="1:13" s="82" customFormat="1" x14ac:dyDescent="0.3">
      <c r="A30" s="81">
        <v>22</v>
      </c>
      <c r="B30" s="113"/>
      <c r="C30" s="74" t="s">
        <v>16</v>
      </c>
      <c r="D30" s="75" t="s">
        <v>183</v>
      </c>
      <c r="E30" s="76" t="s">
        <v>134</v>
      </c>
      <c r="F30" s="73">
        <v>14.166666666666666</v>
      </c>
      <c r="G30" s="73">
        <v>13.166666666666666</v>
      </c>
      <c r="H30" s="73">
        <v>14</v>
      </c>
      <c r="I30" s="73">
        <v>10.916666666666666</v>
      </c>
      <c r="J30" s="73">
        <v>12.416666666666666</v>
      </c>
      <c r="K30" s="73">
        <v>16.666666666666668</v>
      </c>
      <c r="L30" s="52">
        <f>'26년 월별 색도현황'!S16</f>
        <v>18</v>
      </c>
      <c r="M30" s="64" t="s">
        <v>159</v>
      </c>
    </row>
    <row r="31" spans="1:13" x14ac:dyDescent="0.3">
      <c r="A31" s="2">
        <v>23</v>
      </c>
      <c r="B31" s="112" t="s">
        <v>184</v>
      </c>
      <c r="C31" s="71" t="s">
        <v>41</v>
      </c>
      <c r="D31" s="72" t="s">
        <v>56</v>
      </c>
      <c r="E31" s="4" t="s">
        <v>134</v>
      </c>
      <c r="F31" s="52">
        <v>21.333333333333332</v>
      </c>
      <c r="G31" s="52">
        <v>21</v>
      </c>
      <c r="H31" s="52">
        <v>23.333333333333332</v>
      </c>
      <c r="I31" s="52">
        <v>14.25</v>
      </c>
      <c r="J31" s="52">
        <v>14.75</v>
      </c>
      <c r="K31" s="52">
        <v>28.416666666666668</v>
      </c>
      <c r="L31" s="52">
        <f>'26년 월별 색도현황'!S17</f>
        <v>44.111111111111114</v>
      </c>
    </row>
    <row r="32" spans="1:13" x14ac:dyDescent="0.3">
      <c r="A32" s="2">
        <v>24</v>
      </c>
      <c r="B32" s="113"/>
      <c r="C32" s="71" t="s">
        <v>17</v>
      </c>
      <c r="D32" s="72" t="s">
        <v>57</v>
      </c>
      <c r="E32" s="4" t="s">
        <v>134</v>
      </c>
      <c r="F32" s="52">
        <v>18.5</v>
      </c>
      <c r="G32" s="52">
        <v>13.333333333333334</v>
      </c>
      <c r="H32" s="52">
        <v>15.666666666666666</v>
      </c>
      <c r="I32" s="52">
        <v>10.833333333333334</v>
      </c>
      <c r="J32" s="52">
        <v>13.833333333333334</v>
      </c>
      <c r="K32" s="52">
        <v>27.25</v>
      </c>
      <c r="L32" s="52">
        <f>'26년 월별 색도현황'!S18</f>
        <v>45.444444444444443</v>
      </c>
    </row>
    <row r="33" spans="1:13" x14ac:dyDescent="0.3">
      <c r="A33" s="2"/>
      <c r="B33" s="77" t="s">
        <v>185</v>
      </c>
      <c r="C33" s="78" t="s">
        <v>185</v>
      </c>
      <c r="D33" s="72" t="s">
        <v>186</v>
      </c>
      <c r="E33" s="4" t="s">
        <v>134</v>
      </c>
      <c r="F33" s="52">
        <v>9.5833333333333339</v>
      </c>
      <c r="G33" s="52">
        <v>8</v>
      </c>
      <c r="H33" s="4" t="s">
        <v>125</v>
      </c>
      <c r="I33" s="52" t="s">
        <v>125</v>
      </c>
      <c r="J33" s="52" t="s">
        <v>125</v>
      </c>
      <c r="K33" s="52" t="s">
        <v>125</v>
      </c>
      <c r="L33" s="52" t="s">
        <v>125</v>
      </c>
    </row>
    <row r="34" spans="1:13" x14ac:dyDescent="0.3">
      <c r="A34" s="2">
        <v>25</v>
      </c>
      <c r="B34" s="80" t="s">
        <v>187</v>
      </c>
      <c r="C34" s="71" t="s">
        <v>36</v>
      </c>
      <c r="D34" s="72" t="s">
        <v>58</v>
      </c>
      <c r="E34" s="4" t="s">
        <v>134</v>
      </c>
      <c r="F34" s="52">
        <v>10.666666666666666</v>
      </c>
      <c r="G34" s="52">
        <v>8.75</v>
      </c>
      <c r="H34" s="52">
        <v>8.25</v>
      </c>
      <c r="I34" s="52">
        <v>7</v>
      </c>
      <c r="J34" s="52">
        <v>7.5</v>
      </c>
      <c r="K34" s="52">
        <v>8.9166666666666661</v>
      </c>
      <c r="L34" s="52">
        <f>'26년 월별 색도현황'!S19</f>
        <v>20.333333333333332</v>
      </c>
    </row>
    <row r="35" spans="1:13" x14ac:dyDescent="0.3">
      <c r="A35" s="2"/>
      <c r="B35" s="77" t="s">
        <v>188</v>
      </c>
      <c r="C35" s="78" t="s">
        <v>188</v>
      </c>
      <c r="D35" s="72" t="s">
        <v>189</v>
      </c>
      <c r="E35" s="4" t="s">
        <v>134</v>
      </c>
      <c r="F35" s="52">
        <v>10.416666666666666</v>
      </c>
      <c r="G35" s="52">
        <v>8.25</v>
      </c>
      <c r="H35" s="4" t="s">
        <v>125</v>
      </c>
      <c r="I35" s="52" t="s">
        <v>125</v>
      </c>
      <c r="J35" s="52" t="s">
        <v>125</v>
      </c>
      <c r="K35" s="52" t="s">
        <v>125</v>
      </c>
      <c r="L35" s="52" t="s">
        <v>125</v>
      </c>
    </row>
    <row r="36" spans="1:13" x14ac:dyDescent="0.3">
      <c r="A36" s="2"/>
      <c r="B36" s="77" t="s">
        <v>190</v>
      </c>
      <c r="C36" s="78" t="s">
        <v>190</v>
      </c>
      <c r="D36" s="72" t="s">
        <v>191</v>
      </c>
      <c r="E36" s="4" t="s">
        <v>134</v>
      </c>
      <c r="F36" s="52">
        <v>11.083333333333334</v>
      </c>
      <c r="G36" s="52">
        <v>9.9166666666666661</v>
      </c>
      <c r="H36" s="4" t="s">
        <v>125</v>
      </c>
      <c r="I36" s="52" t="s">
        <v>125</v>
      </c>
      <c r="J36" s="52" t="s">
        <v>125</v>
      </c>
      <c r="K36" s="52" t="s">
        <v>125</v>
      </c>
      <c r="L36" s="52" t="s">
        <v>125</v>
      </c>
    </row>
    <row r="37" spans="1:13" x14ac:dyDescent="0.3">
      <c r="A37" s="2">
        <v>26</v>
      </c>
      <c r="B37" s="112" t="s">
        <v>192</v>
      </c>
      <c r="C37" s="71" t="s">
        <v>42</v>
      </c>
      <c r="D37" s="72" t="s">
        <v>193</v>
      </c>
      <c r="E37" s="4">
        <v>22</v>
      </c>
      <c r="F37" s="52">
        <v>14.166666666666666</v>
      </c>
      <c r="G37" s="52">
        <v>13.166666666666666</v>
      </c>
      <c r="H37" s="52">
        <v>13.25</v>
      </c>
      <c r="I37" s="52">
        <v>8.25</v>
      </c>
      <c r="J37" s="52">
        <v>8.1666666666666661</v>
      </c>
      <c r="K37" s="52">
        <v>8.4166666666666661</v>
      </c>
      <c r="L37" s="52">
        <f>'26년 월별 색도현황'!S20</f>
        <v>16</v>
      </c>
    </row>
    <row r="38" spans="1:13" x14ac:dyDescent="0.3">
      <c r="A38" s="2">
        <v>27</v>
      </c>
      <c r="B38" s="114"/>
      <c r="C38" s="71" t="s">
        <v>18</v>
      </c>
      <c r="D38" s="72" t="s">
        <v>194</v>
      </c>
      <c r="E38" s="4">
        <v>31</v>
      </c>
      <c r="F38" s="52">
        <v>18.083333333333332</v>
      </c>
      <c r="G38" s="52">
        <v>16</v>
      </c>
      <c r="H38" s="52">
        <v>13.25</v>
      </c>
      <c r="I38" s="52">
        <v>8.9166666666666661</v>
      </c>
      <c r="J38" s="52">
        <v>10.083333333333334</v>
      </c>
      <c r="K38" s="52">
        <v>9.75</v>
      </c>
      <c r="L38" s="52">
        <f>'26년 월별 색도현황'!S21</f>
        <v>16.888888888888889</v>
      </c>
    </row>
    <row r="39" spans="1:13" x14ac:dyDescent="0.3">
      <c r="A39" s="2">
        <v>28</v>
      </c>
      <c r="B39" s="114"/>
      <c r="C39" s="71" t="s">
        <v>19</v>
      </c>
      <c r="D39" s="72" t="s">
        <v>195</v>
      </c>
      <c r="E39" s="4">
        <v>41</v>
      </c>
      <c r="F39" s="52">
        <v>24.833333333333332</v>
      </c>
      <c r="G39" s="52">
        <v>21.583333333333332</v>
      </c>
      <c r="H39" s="52">
        <v>22.416666666666668</v>
      </c>
      <c r="I39" s="52">
        <v>15.333333333333334</v>
      </c>
      <c r="J39" s="52">
        <v>17.666666666666668</v>
      </c>
      <c r="K39" s="52">
        <v>16.833333333333332</v>
      </c>
      <c r="L39" s="52">
        <f>'26년 월별 색도현황'!S22</f>
        <v>25.777777777777779</v>
      </c>
    </row>
    <row r="40" spans="1:13" x14ac:dyDescent="0.3">
      <c r="A40" s="2">
        <v>29</v>
      </c>
      <c r="B40" s="114"/>
      <c r="C40" s="71" t="s">
        <v>196</v>
      </c>
      <c r="D40" s="72" t="s">
        <v>197</v>
      </c>
      <c r="E40" s="4">
        <v>52</v>
      </c>
      <c r="F40" s="52">
        <v>26.416666666666668</v>
      </c>
      <c r="G40" s="52">
        <v>23.833333333333332</v>
      </c>
      <c r="H40" s="52">
        <v>23.833333333333332</v>
      </c>
      <c r="I40" s="52">
        <v>16.5</v>
      </c>
      <c r="J40" s="52">
        <v>15.75</v>
      </c>
      <c r="K40" s="52">
        <v>15.75</v>
      </c>
      <c r="L40" s="52">
        <f>'26년 월별 색도현황'!S23</f>
        <v>36.333333333333336</v>
      </c>
    </row>
    <row r="41" spans="1:13" x14ac:dyDescent="0.3">
      <c r="A41" s="2"/>
      <c r="B41" s="114"/>
      <c r="C41" s="78" t="s">
        <v>198</v>
      </c>
      <c r="D41" s="72" t="s">
        <v>199</v>
      </c>
      <c r="E41" s="4">
        <v>46</v>
      </c>
      <c r="F41" s="52">
        <v>24.833333333333332</v>
      </c>
      <c r="G41" s="52">
        <v>22.5</v>
      </c>
      <c r="H41" s="4" t="s">
        <v>125</v>
      </c>
      <c r="I41" s="52" t="s">
        <v>125</v>
      </c>
      <c r="J41" s="52" t="s">
        <v>125</v>
      </c>
      <c r="K41" s="52" t="s">
        <v>125</v>
      </c>
      <c r="L41" s="52" t="s">
        <v>125</v>
      </c>
    </row>
    <row r="42" spans="1:13" ht="17.25" customHeight="1" x14ac:dyDescent="0.3">
      <c r="A42" s="2">
        <v>30</v>
      </c>
      <c r="B42" s="114"/>
      <c r="C42" s="71" t="s">
        <v>87</v>
      </c>
      <c r="D42" s="72" t="s">
        <v>88</v>
      </c>
      <c r="E42" s="4">
        <v>44</v>
      </c>
      <c r="F42" s="52">
        <v>23.916666666666668</v>
      </c>
      <c r="G42" s="52">
        <v>24.75</v>
      </c>
      <c r="H42" s="52">
        <v>21.25</v>
      </c>
      <c r="I42" s="52">
        <v>15.916666666666666</v>
      </c>
      <c r="J42" s="52">
        <v>15.333333333333334</v>
      </c>
      <c r="K42" s="52">
        <v>14.333333333333334</v>
      </c>
      <c r="L42" s="52">
        <f>'26년 월별 색도현황'!S24</f>
        <v>24.888888888888889</v>
      </c>
    </row>
    <row r="43" spans="1:13" x14ac:dyDescent="0.3">
      <c r="A43" s="2">
        <v>31</v>
      </c>
      <c r="B43" s="114"/>
      <c r="C43" s="71" t="s">
        <v>20</v>
      </c>
      <c r="D43" s="72" t="s">
        <v>60</v>
      </c>
      <c r="E43" s="4">
        <v>33</v>
      </c>
      <c r="F43" s="52">
        <v>23.25</v>
      </c>
      <c r="G43" s="52">
        <v>19.416666666666668</v>
      </c>
      <c r="H43" s="52">
        <v>18.416666666666668</v>
      </c>
      <c r="I43" s="52">
        <v>15.083333333333334</v>
      </c>
      <c r="J43" s="52">
        <v>16.083333333333332</v>
      </c>
      <c r="K43" s="52">
        <v>14.333333333333334</v>
      </c>
      <c r="L43" s="52">
        <f>'26년 월별 색도현황'!S25</f>
        <v>23.333333333333332</v>
      </c>
    </row>
    <row r="44" spans="1:13" x14ac:dyDescent="0.3">
      <c r="A44" s="2"/>
      <c r="B44" s="114"/>
      <c r="C44" s="78" t="s">
        <v>200</v>
      </c>
      <c r="D44" s="72" t="s">
        <v>201</v>
      </c>
      <c r="E44" s="4" t="s">
        <v>134</v>
      </c>
      <c r="F44" s="52">
        <v>19.583333333333332</v>
      </c>
      <c r="G44" s="52">
        <v>20.083333333333332</v>
      </c>
      <c r="H44" s="52">
        <v>16.25</v>
      </c>
      <c r="I44" s="52" t="s">
        <v>125</v>
      </c>
      <c r="J44" s="52" t="s">
        <v>125</v>
      </c>
      <c r="K44" s="52" t="s">
        <v>125</v>
      </c>
      <c r="L44" s="52" t="s">
        <v>125</v>
      </c>
    </row>
    <row r="45" spans="1:13" ht="22.5" x14ac:dyDescent="0.3">
      <c r="A45" s="2">
        <v>32</v>
      </c>
      <c r="B45" s="114"/>
      <c r="C45" s="71" t="s">
        <v>21</v>
      </c>
      <c r="D45" s="72" t="s">
        <v>202</v>
      </c>
      <c r="E45" s="4">
        <v>32</v>
      </c>
      <c r="F45" s="52">
        <v>20.25</v>
      </c>
      <c r="G45" s="52">
        <v>19.25</v>
      </c>
      <c r="H45" s="52">
        <v>17.416666666666668</v>
      </c>
      <c r="I45" s="52">
        <v>12.583333333333334</v>
      </c>
      <c r="J45" s="52">
        <v>11.833333333333334</v>
      </c>
      <c r="K45" s="52">
        <v>14.416666666666666</v>
      </c>
      <c r="L45" s="52">
        <f>'26년 월별 색도현황'!S26</f>
        <v>23.222222222222221</v>
      </c>
    </row>
    <row r="46" spans="1:13" x14ac:dyDescent="0.3">
      <c r="A46" s="2">
        <v>33</v>
      </c>
      <c r="B46" s="114"/>
      <c r="C46" s="71" t="s">
        <v>22</v>
      </c>
      <c r="D46" s="72" t="s">
        <v>61</v>
      </c>
      <c r="E46" s="4">
        <v>60</v>
      </c>
      <c r="F46" s="52">
        <v>40.75</v>
      </c>
      <c r="G46" s="52">
        <v>34.583333333333336</v>
      </c>
      <c r="H46" s="52">
        <v>34.5</v>
      </c>
      <c r="I46" s="52">
        <v>21</v>
      </c>
      <c r="J46" s="52">
        <v>24.916666666666668</v>
      </c>
      <c r="K46" s="52">
        <v>21.166666666666668</v>
      </c>
      <c r="L46" s="52">
        <f>'26년 월별 색도현황'!S27</f>
        <v>31.333333333333332</v>
      </c>
    </row>
    <row r="47" spans="1:13" x14ac:dyDescent="0.3">
      <c r="A47" s="2">
        <v>34</v>
      </c>
      <c r="B47" s="114"/>
      <c r="C47" s="74" t="s">
        <v>23</v>
      </c>
      <c r="D47" s="75" t="s">
        <v>24</v>
      </c>
      <c r="E47" s="76">
        <v>73</v>
      </c>
      <c r="F47" s="73">
        <v>49.583333333333336</v>
      </c>
      <c r="G47" s="73">
        <v>56</v>
      </c>
      <c r="H47" s="73">
        <v>60.083333333333336</v>
      </c>
      <c r="I47" s="73">
        <v>49.333333333333336</v>
      </c>
      <c r="J47" s="73">
        <v>46.75</v>
      </c>
      <c r="K47" s="52">
        <v>60.583333333333336</v>
      </c>
      <c r="L47" s="52">
        <f>'26년 월별 색도현황'!S28</f>
        <v>71.222222222222229</v>
      </c>
      <c r="M47" s="64" t="s">
        <v>203</v>
      </c>
    </row>
    <row r="48" spans="1:13" x14ac:dyDescent="0.3">
      <c r="A48" s="2">
        <v>35</v>
      </c>
      <c r="B48" s="114"/>
      <c r="C48" s="1" t="s">
        <v>64</v>
      </c>
      <c r="D48" s="72" t="s">
        <v>89</v>
      </c>
      <c r="E48" s="4" t="s">
        <v>134</v>
      </c>
      <c r="F48" s="52" t="s">
        <v>134</v>
      </c>
      <c r="G48" s="52" t="s">
        <v>134</v>
      </c>
      <c r="H48" s="52">
        <v>39.5</v>
      </c>
      <c r="I48" s="52">
        <v>29.5</v>
      </c>
      <c r="J48" s="52">
        <v>35.333333333333336</v>
      </c>
      <c r="K48" s="52">
        <v>39.583333333333336</v>
      </c>
      <c r="L48" s="52">
        <f>'26년 월별 색도현황'!S29</f>
        <v>55.888888888888886</v>
      </c>
    </row>
    <row r="49" spans="1:13" x14ac:dyDescent="0.3">
      <c r="A49" s="2">
        <v>36</v>
      </c>
      <c r="B49" s="114"/>
      <c r="C49" s="71" t="s">
        <v>27</v>
      </c>
      <c r="D49" s="72" t="s">
        <v>62</v>
      </c>
      <c r="E49" s="4" t="s">
        <v>134</v>
      </c>
      <c r="F49" s="52">
        <v>38</v>
      </c>
      <c r="G49" s="52">
        <v>33.083333333333336</v>
      </c>
      <c r="H49" s="52">
        <v>36.916666666666664</v>
      </c>
      <c r="I49" s="52">
        <v>26</v>
      </c>
      <c r="J49" s="52">
        <v>25</v>
      </c>
      <c r="K49" s="73">
        <v>26.833333333333332</v>
      </c>
      <c r="L49" s="52">
        <f>'26년 월별 색도현황'!S30</f>
        <v>40.555555555555557</v>
      </c>
    </row>
    <row r="50" spans="1:13" x14ac:dyDescent="0.3">
      <c r="A50" s="2">
        <v>37</v>
      </c>
      <c r="B50" s="114"/>
      <c r="C50" s="71" t="s">
        <v>25</v>
      </c>
      <c r="D50" s="72" t="s">
        <v>26</v>
      </c>
      <c r="E50" s="4">
        <v>56</v>
      </c>
      <c r="F50" s="52">
        <v>37.583333333333336</v>
      </c>
      <c r="G50" s="52">
        <v>33.5</v>
      </c>
      <c r="H50" s="52">
        <v>36.166666666666664</v>
      </c>
      <c r="I50" s="52">
        <v>24.416666666666668</v>
      </c>
      <c r="J50" s="52">
        <v>22.916666666666668</v>
      </c>
      <c r="K50" s="52">
        <v>26.083333333333332</v>
      </c>
      <c r="L50" s="52">
        <f>'26년 월별 색도현황'!S31</f>
        <v>38</v>
      </c>
    </row>
    <row r="51" spans="1:13" s="82" customFormat="1" x14ac:dyDescent="0.3">
      <c r="A51" s="81">
        <v>38</v>
      </c>
      <c r="B51" s="113"/>
      <c r="C51" s="74" t="s">
        <v>28</v>
      </c>
      <c r="D51" s="75" t="s">
        <v>204</v>
      </c>
      <c r="E51" s="76">
        <v>56</v>
      </c>
      <c r="F51" s="73">
        <v>36.25</v>
      </c>
      <c r="G51" s="73">
        <v>33.166666666666664</v>
      </c>
      <c r="H51" s="73">
        <v>35</v>
      </c>
      <c r="I51" s="73">
        <v>24.5</v>
      </c>
      <c r="J51" s="73">
        <v>23.583333333333332</v>
      </c>
      <c r="K51" s="52">
        <v>26.166666666666668</v>
      </c>
      <c r="L51" s="52">
        <f>'26년 월별 색도현황'!S32</f>
        <v>37.555555555555557</v>
      </c>
      <c r="M51" s="64" t="s">
        <v>159</v>
      </c>
    </row>
    <row r="52" spans="1:13" x14ac:dyDescent="0.3">
      <c r="A52" s="2">
        <v>39</v>
      </c>
      <c r="B52" s="80" t="s">
        <v>205</v>
      </c>
      <c r="C52" s="71" t="s">
        <v>43</v>
      </c>
      <c r="D52" s="72" t="s">
        <v>30</v>
      </c>
      <c r="E52" s="4" t="s">
        <v>134</v>
      </c>
      <c r="F52" s="52">
        <v>38</v>
      </c>
      <c r="G52" s="52">
        <v>15.75</v>
      </c>
      <c r="H52" s="52">
        <v>24.166666666666668</v>
      </c>
      <c r="I52" s="52">
        <v>13.333333333333334</v>
      </c>
      <c r="J52" s="52">
        <v>16.5</v>
      </c>
      <c r="K52" s="52">
        <v>19.5</v>
      </c>
      <c r="L52" s="52">
        <f>'26년 월별 색도현황'!S33</f>
        <v>31.222222222222221</v>
      </c>
    </row>
    <row r="53" spans="1:13" x14ac:dyDescent="0.3">
      <c r="A53" s="2">
        <v>40</v>
      </c>
      <c r="B53" s="80" t="s">
        <v>206</v>
      </c>
      <c r="C53" s="71" t="s">
        <v>207</v>
      </c>
      <c r="D53" s="72" t="s">
        <v>208</v>
      </c>
      <c r="E53" s="4" t="s">
        <v>134</v>
      </c>
      <c r="F53" s="52">
        <v>15.75</v>
      </c>
      <c r="G53" s="52">
        <v>13.666666666666666</v>
      </c>
      <c r="H53" s="52">
        <v>13.083333333333334</v>
      </c>
      <c r="I53" s="52">
        <v>9.3333333333333339</v>
      </c>
      <c r="J53" s="52">
        <v>10.916666666666666</v>
      </c>
      <c r="K53" s="52">
        <v>9.0833333333333339</v>
      </c>
      <c r="L53" s="52" t="s">
        <v>125</v>
      </c>
    </row>
    <row r="54" spans="1:13" x14ac:dyDescent="0.3">
      <c r="A54" s="2">
        <v>41</v>
      </c>
      <c r="B54" s="80" t="s">
        <v>209</v>
      </c>
      <c r="C54" s="71" t="s">
        <v>210</v>
      </c>
      <c r="D54" s="72" t="s">
        <v>211</v>
      </c>
      <c r="E54" s="4" t="s">
        <v>134</v>
      </c>
      <c r="F54" s="52">
        <v>19.75</v>
      </c>
      <c r="G54" s="52">
        <v>15.666666666666666</v>
      </c>
      <c r="H54" s="52">
        <v>14</v>
      </c>
      <c r="I54" s="52">
        <v>10.666666666666666</v>
      </c>
      <c r="J54" s="52">
        <v>12.666666666666666</v>
      </c>
      <c r="K54" s="52">
        <v>9.8333333333333339</v>
      </c>
      <c r="L54" s="52" t="s">
        <v>125</v>
      </c>
    </row>
    <row r="55" spans="1:13" x14ac:dyDescent="0.3">
      <c r="A55" s="2">
        <v>42</v>
      </c>
      <c r="B55" s="80" t="s">
        <v>212</v>
      </c>
      <c r="C55" s="71" t="s">
        <v>213</v>
      </c>
      <c r="D55" s="72" t="s">
        <v>214</v>
      </c>
      <c r="E55" s="4" t="s">
        <v>134</v>
      </c>
      <c r="F55" s="52">
        <v>15.916666666666666</v>
      </c>
      <c r="G55" s="52">
        <v>14.166666666666666</v>
      </c>
      <c r="H55" s="52">
        <v>11.583333333333334</v>
      </c>
      <c r="I55" s="52">
        <v>7.833333333333333</v>
      </c>
      <c r="J55" s="52">
        <v>10</v>
      </c>
      <c r="K55" s="52">
        <v>9.8333333333333339</v>
      </c>
      <c r="L55" s="52" t="s">
        <v>125</v>
      </c>
    </row>
    <row r="56" spans="1:13" x14ac:dyDescent="0.3">
      <c r="A56" s="2">
        <v>43</v>
      </c>
      <c r="B56" s="80" t="s">
        <v>215</v>
      </c>
      <c r="C56" s="71" t="s">
        <v>216</v>
      </c>
      <c r="D56" s="72" t="s">
        <v>217</v>
      </c>
      <c r="E56" s="4" t="s">
        <v>134</v>
      </c>
      <c r="F56" s="52">
        <v>18.833333333333332</v>
      </c>
      <c r="G56" s="52">
        <v>16.5</v>
      </c>
      <c r="H56" s="52">
        <v>17.916666666666668</v>
      </c>
      <c r="I56" s="52">
        <v>14.583333333333334</v>
      </c>
      <c r="J56" s="52">
        <v>13.666666666666666</v>
      </c>
      <c r="K56" s="52">
        <v>13.583333333333334</v>
      </c>
      <c r="L56" s="52" t="s">
        <v>125</v>
      </c>
    </row>
    <row r="57" spans="1:13" x14ac:dyDescent="0.3">
      <c r="A57" s="2">
        <v>44</v>
      </c>
      <c r="B57" s="80" t="s">
        <v>218</v>
      </c>
      <c r="C57" s="71" t="s">
        <v>31</v>
      </c>
      <c r="D57" s="72" t="s">
        <v>32</v>
      </c>
      <c r="E57" s="4" t="s">
        <v>134</v>
      </c>
      <c r="F57" s="52">
        <v>37.166666666666664</v>
      </c>
      <c r="G57" s="52">
        <v>38.083333333333336</v>
      </c>
      <c r="H57" s="52">
        <v>37.166666666666664</v>
      </c>
      <c r="I57" s="52">
        <v>23.083333333333332</v>
      </c>
      <c r="J57" s="52">
        <v>20.5</v>
      </c>
      <c r="K57" s="52">
        <v>21.666666666666668</v>
      </c>
      <c r="L57" s="52">
        <f>'26년 월별 색도현황'!S34</f>
        <v>33.111111111111114</v>
      </c>
    </row>
    <row r="58" spans="1:13" x14ac:dyDescent="0.3">
      <c r="A58" s="2">
        <v>45</v>
      </c>
      <c r="B58" s="80" t="s">
        <v>219</v>
      </c>
      <c r="C58" s="71" t="s">
        <v>220</v>
      </c>
      <c r="D58" s="72" t="s">
        <v>221</v>
      </c>
      <c r="E58" s="4" t="s">
        <v>134</v>
      </c>
      <c r="F58" s="52">
        <v>17.666666666666668</v>
      </c>
      <c r="G58" s="52">
        <v>17.083333333333332</v>
      </c>
      <c r="H58" s="52">
        <v>14.666666666666666</v>
      </c>
      <c r="I58" s="52">
        <v>12.75</v>
      </c>
      <c r="J58" s="52">
        <v>13</v>
      </c>
      <c r="K58" s="52">
        <v>12.75</v>
      </c>
      <c r="L58" s="52" t="s">
        <v>125</v>
      </c>
    </row>
    <row r="59" spans="1:13" x14ac:dyDescent="0.3">
      <c r="A59" s="2">
        <v>46</v>
      </c>
      <c r="B59" s="80" t="s">
        <v>222</v>
      </c>
      <c r="C59" s="71" t="s">
        <v>223</v>
      </c>
      <c r="D59" s="72" t="s">
        <v>224</v>
      </c>
      <c r="E59" s="4" t="s">
        <v>134</v>
      </c>
      <c r="F59" s="52">
        <v>13.833333333333334</v>
      </c>
      <c r="G59" s="52">
        <v>15.75</v>
      </c>
      <c r="H59" s="52">
        <v>11.083333333333334</v>
      </c>
      <c r="I59" s="52">
        <v>8.3333333333333339</v>
      </c>
      <c r="J59" s="52">
        <v>9.9166666666666661</v>
      </c>
      <c r="K59" s="52">
        <v>9.5</v>
      </c>
      <c r="L59" s="52">
        <f>'26년 월별 색도현황'!S35</f>
        <v>16</v>
      </c>
    </row>
    <row r="60" spans="1:13" x14ac:dyDescent="0.3">
      <c r="A60" s="2"/>
      <c r="B60" s="95"/>
      <c r="C60" s="71" t="s">
        <v>104</v>
      </c>
      <c r="D60" s="96" t="s">
        <v>105</v>
      </c>
      <c r="E60" s="4" t="s">
        <v>125</v>
      </c>
      <c r="F60" s="52" t="s">
        <v>125</v>
      </c>
      <c r="G60" s="52" t="s">
        <v>125</v>
      </c>
      <c r="H60" s="52" t="s">
        <v>125</v>
      </c>
      <c r="I60" s="52" t="s">
        <v>125</v>
      </c>
      <c r="J60" s="52" t="s">
        <v>125</v>
      </c>
      <c r="K60" s="52" t="s">
        <v>125</v>
      </c>
      <c r="L60" s="52">
        <f>'26년 월별 색도현황'!S36</f>
        <v>17.222222222222221</v>
      </c>
    </row>
    <row r="61" spans="1:13" x14ac:dyDescent="0.3">
      <c r="A61" s="2">
        <v>47</v>
      </c>
      <c r="B61" s="112" t="s">
        <v>225</v>
      </c>
      <c r="C61" s="71" t="s">
        <v>226</v>
      </c>
      <c r="D61" s="72" t="s">
        <v>227</v>
      </c>
      <c r="E61" s="4" t="s">
        <v>134</v>
      </c>
      <c r="F61" s="4" t="s">
        <v>134</v>
      </c>
      <c r="G61" s="52">
        <v>25.833333333333332</v>
      </c>
      <c r="H61" s="52">
        <v>22.75</v>
      </c>
      <c r="I61" s="52">
        <v>14.333333333333334</v>
      </c>
      <c r="J61" s="52">
        <v>16.416666666666668</v>
      </c>
      <c r="K61" s="52">
        <v>17.083333333333332</v>
      </c>
      <c r="L61" s="52">
        <f>'26년 월별 색도현황'!S37</f>
        <v>23.888888888888889</v>
      </c>
    </row>
    <row r="62" spans="1:13" x14ac:dyDescent="0.3">
      <c r="A62" s="2">
        <v>48</v>
      </c>
      <c r="B62" s="113"/>
      <c r="C62" s="71" t="s">
        <v>228</v>
      </c>
      <c r="D62" s="72" t="s">
        <v>229</v>
      </c>
      <c r="E62" s="4" t="s">
        <v>134</v>
      </c>
      <c r="F62" s="52">
        <v>24.083333333333332</v>
      </c>
      <c r="G62" s="52">
        <v>14</v>
      </c>
      <c r="H62" s="52">
        <v>11.916666666666666</v>
      </c>
      <c r="I62" s="52">
        <v>9.5</v>
      </c>
      <c r="J62" s="52">
        <v>9.5833333333333339</v>
      </c>
      <c r="K62" s="52">
        <v>12.916666666666666</v>
      </c>
      <c r="L62" s="52" t="s">
        <v>125</v>
      </c>
    </row>
    <row r="63" spans="1:13" x14ac:dyDescent="0.3">
      <c r="A63" s="2">
        <v>49</v>
      </c>
      <c r="B63" s="80" t="s">
        <v>230</v>
      </c>
      <c r="C63" s="71" t="s">
        <v>29</v>
      </c>
      <c r="D63" s="72" t="s">
        <v>231</v>
      </c>
      <c r="E63" s="4" t="s">
        <v>134</v>
      </c>
      <c r="F63" s="52">
        <v>13.416666666666666</v>
      </c>
      <c r="G63" s="52">
        <v>13.5</v>
      </c>
      <c r="H63" s="52">
        <v>11.75</v>
      </c>
      <c r="I63" s="52">
        <v>8.3333333333333339</v>
      </c>
      <c r="J63" s="52">
        <v>8</v>
      </c>
      <c r="K63" s="52">
        <v>7.916666666666667</v>
      </c>
      <c r="L63" s="52">
        <f>'26년 월별 색도현황'!S38</f>
        <v>15.666666666666666</v>
      </c>
    </row>
    <row r="64" spans="1:13" x14ac:dyDescent="0.3">
      <c r="A64" s="2"/>
      <c r="B64" s="77" t="s">
        <v>232</v>
      </c>
      <c r="C64" s="78" t="s">
        <v>232</v>
      </c>
      <c r="D64" s="72" t="s">
        <v>233</v>
      </c>
      <c r="E64" s="4" t="s">
        <v>134</v>
      </c>
      <c r="F64" s="52">
        <v>12.833333333333334</v>
      </c>
      <c r="G64" s="52">
        <v>11.916666666666666</v>
      </c>
      <c r="H64" s="52">
        <v>9.1666666666666661</v>
      </c>
      <c r="I64" s="52" t="s">
        <v>125</v>
      </c>
      <c r="J64" s="52" t="s">
        <v>125</v>
      </c>
      <c r="K64" s="52" t="s">
        <v>125</v>
      </c>
      <c r="L64" s="52" t="s">
        <v>125</v>
      </c>
    </row>
    <row r="65" spans="1:12" x14ac:dyDescent="0.3">
      <c r="A65" s="2"/>
      <c r="B65" s="112" t="s">
        <v>234</v>
      </c>
      <c r="C65" s="83" t="s">
        <v>235</v>
      </c>
      <c r="D65" s="72" t="s">
        <v>236</v>
      </c>
      <c r="E65" s="4" t="s">
        <v>134</v>
      </c>
      <c r="F65" s="4" t="s">
        <v>125</v>
      </c>
      <c r="G65" s="52">
        <v>28</v>
      </c>
      <c r="H65" s="52">
        <v>20.5</v>
      </c>
      <c r="I65" s="52" t="s">
        <v>125</v>
      </c>
      <c r="J65" s="52" t="s">
        <v>125</v>
      </c>
      <c r="K65" s="52" t="s">
        <v>125</v>
      </c>
      <c r="L65" s="52" t="s">
        <v>125</v>
      </c>
    </row>
    <row r="66" spans="1:12" s="64" customFormat="1" x14ac:dyDescent="0.3">
      <c r="A66" s="2"/>
      <c r="B66" s="114"/>
      <c r="C66" s="83" t="s">
        <v>237</v>
      </c>
      <c r="D66" s="72" t="s">
        <v>238</v>
      </c>
      <c r="E66" s="4" t="s">
        <v>134</v>
      </c>
      <c r="F66" s="4" t="s">
        <v>125</v>
      </c>
      <c r="G66" s="52">
        <v>78.777777777777771</v>
      </c>
      <c r="H66" s="52">
        <v>67.916666666666671</v>
      </c>
      <c r="I66" s="52" t="s">
        <v>125</v>
      </c>
      <c r="J66" s="52" t="s">
        <v>125</v>
      </c>
      <c r="K66" s="52" t="s">
        <v>125</v>
      </c>
      <c r="L66" s="52" t="s">
        <v>125</v>
      </c>
    </row>
    <row r="67" spans="1:12" s="64" customFormat="1" x14ac:dyDescent="0.3">
      <c r="A67" s="2"/>
      <c r="B67" s="114"/>
      <c r="C67" s="83" t="s">
        <v>239</v>
      </c>
      <c r="D67" s="79" t="s">
        <v>240</v>
      </c>
      <c r="E67" s="4" t="s">
        <v>134</v>
      </c>
      <c r="F67" s="4" t="s">
        <v>125</v>
      </c>
      <c r="G67" s="52">
        <v>29.777777777777779</v>
      </c>
      <c r="H67" s="52">
        <v>21.916666666666668</v>
      </c>
      <c r="I67" s="52" t="s">
        <v>125</v>
      </c>
      <c r="J67" s="52" t="s">
        <v>125</v>
      </c>
      <c r="K67" s="52" t="s">
        <v>125</v>
      </c>
      <c r="L67" s="52" t="s">
        <v>125</v>
      </c>
    </row>
    <row r="68" spans="1:12" s="64" customFormat="1" x14ac:dyDescent="0.3">
      <c r="A68" s="2"/>
      <c r="B68" s="114"/>
      <c r="C68" s="78" t="s">
        <v>241</v>
      </c>
      <c r="D68" s="72" t="s">
        <v>242</v>
      </c>
      <c r="E68" s="4" t="s">
        <v>134</v>
      </c>
      <c r="F68" s="84">
        <v>67.75</v>
      </c>
      <c r="G68" s="52">
        <v>66.5</v>
      </c>
      <c r="H68" s="52">
        <v>54</v>
      </c>
      <c r="I68" s="52" t="s">
        <v>125</v>
      </c>
      <c r="J68" s="52" t="s">
        <v>125</v>
      </c>
      <c r="K68" s="52" t="s">
        <v>125</v>
      </c>
      <c r="L68" s="52" t="s">
        <v>125</v>
      </c>
    </row>
    <row r="69" spans="1:12" s="64" customFormat="1" x14ac:dyDescent="0.3">
      <c r="A69" s="2">
        <v>50</v>
      </c>
      <c r="B69" s="113"/>
      <c r="C69" s="71" t="s">
        <v>37</v>
      </c>
      <c r="D69" s="72" t="s">
        <v>243</v>
      </c>
      <c r="E69" s="4">
        <v>76</v>
      </c>
      <c r="F69" s="84">
        <v>38.083333333333336</v>
      </c>
      <c r="G69" s="52">
        <v>50</v>
      </c>
      <c r="H69" s="52">
        <v>30.833333333333332</v>
      </c>
      <c r="I69" s="52">
        <v>10.416666666666666</v>
      </c>
      <c r="J69" s="52">
        <v>12.916666666666666</v>
      </c>
      <c r="K69" s="52">
        <v>12.909090909090908</v>
      </c>
      <c r="L69" s="52">
        <f>'26년 월별 색도현황'!S39</f>
        <v>19.888888888888889</v>
      </c>
    </row>
    <row r="70" spans="1:12" s="64" customFormat="1" x14ac:dyDescent="0.3">
      <c r="A70" s="2">
        <v>51</v>
      </c>
      <c r="B70" s="80" t="s">
        <v>244</v>
      </c>
      <c r="C70" s="71" t="s">
        <v>245</v>
      </c>
      <c r="D70" s="72" t="s">
        <v>246</v>
      </c>
      <c r="E70" s="4" t="s">
        <v>134</v>
      </c>
      <c r="F70" s="4">
        <v>13</v>
      </c>
      <c r="G70" s="52">
        <v>14.5</v>
      </c>
      <c r="H70" s="52">
        <v>11.583333333333334</v>
      </c>
      <c r="I70" s="52">
        <v>6</v>
      </c>
      <c r="J70" s="52">
        <v>9.9166666666666661</v>
      </c>
      <c r="K70" s="52">
        <v>11.166666666666666</v>
      </c>
      <c r="L70" s="52" t="s">
        <v>125</v>
      </c>
    </row>
    <row r="71" spans="1:12" s="64" customFormat="1" x14ac:dyDescent="0.3">
      <c r="A71" s="2">
        <v>52</v>
      </c>
      <c r="B71" s="80" t="s">
        <v>247</v>
      </c>
      <c r="C71" s="71" t="s">
        <v>248</v>
      </c>
      <c r="D71" s="72" t="s">
        <v>249</v>
      </c>
      <c r="E71" s="4" t="s">
        <v>134</v>
      </c>
      <c r="F71" s="4">
        <v>14</v>
      </c>
      <c r="G71" s="52">
        <v>11.833333333333334</v>
      </c>
      <c r="H71" s="52">
        <v>9.8333333333333339</v>
      </c>
      <c r="I71" s="52">
        <v>6.5</v>
      </c>
      <c r="J71" s="52">
        <v>8.5833333333333339</v>
      </c>
      <c r="K71" s="52">
        <v>11.666666666666666</v>
      </c>
      <c r="L71" s="52" t="s">
        <v>125</v>
      </c>
    </row>
    <row r="72" spans="1:12" s="64" customFormat="1" x14ac:dyDescent="0.3">
      <c r="A72" s="65"/>
      <c r="B72" s="65"/>
      <c r="C72" s="65"/>
      <c r="D72" s="65"/>
      <c r="E72" s="3"/>
      <c r="F72" s="3"/>
      <c r="G72" s="85"/>
      <c r="H72" s="3"/>
      <c r="I72" s="3"/>
      <c r="J72" s="3"/>
      <c r="K72" s="3"/>
      <c r="L72" s="3"/>
    </row>
    <row r="73" spans="1:12" s="64" customFormat="1" x14ac:dyDescent="0.3">
      <c r="A73" s="65"/>
      <c r="B73" s="65"/>
      <c r="C73" s="65"/>
      <c r="D73" s="65"/>
      <c r="E73" s="3"/>
      <c r="F73" s="3"/>
      <c r="G73" s="85"/>
      <c r="H73" s="3"/>
      <c r="I73" s="3"/>
      <c r="J73" s="3"/>
      <c r="K73" s="3"/>
      <c r="L73" s="3"/>
    </row>
    <row r="74" spans="1:12" s="64" customFormat="1" x14ac:dyDescent="0.3">
      <c r="A74" s="65"/>
      <c r="B74" s="65"/>
      <c r="C74" s="65"/>
      <c r="D74" s="65"/>
      <c r="E74" s="3"/>
      <c r="F74" s="3"/>
      <c r="G74" s="85"/>
      <c r="H74" s="3"/>
      <c r="I74" s="3"/>
      <c r="J74" s="3"/>
      <c r="K74" s="3"/>
      <c r="L74" s="3"/>
    </row>
  </sheetData>
  <autoFilter ref="A2:I71" xr:uid="{00000000-0009-0000-0000-000010000000}"/>
  <mergeCells count="8">
    <mergeCell ref="B61:B62"/>
    <mergeCell ref="B65:B69"/>
    <mergeCell ref="A1:H1"/>
    <mergeCell ref="B3:B10"/>
    <mergeCell ref="B14:B16"/>
    <mergeCell ref="B25:B30"/>
    <mergeCell ref="B31:B32"/>
    <mergeCell ref="B37:B5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202609</vt:lpstr>
      <vt:lpstr>202608</vt:lpstr>
      <vt:lpstr>202607</vt:lpstr>
      <vt:lpstr>202606</vt:lpstr>
      <vt:lpstr>202605</vt:lpstr>
      <vt:lpstr>202604</vt:lpstr>
      <vt:lpstr>202603</vt:lpstr>
      <vt:lpstr>202602</vt:lpstr>
      <vt:lpstr>202601</vt:lpstr>
      <vt:lpstr>26년 월별 TOC현황</vt:lpstr>
      <vt:lpstr>26년 월별 BOD 현황</vt:lpstr>
      <vt:lpstr>26년 월별 SS현황</vt:lpstr>
      <vt:lpstr>26년 월별 TN 현황</vt:lpstr>
      <vt:lpstr>26년 월별 TP 현황</vt:lpstr>
      <vt:lpstr>26년 월별 색도현황</vt:lpstr>
      <vt:lpstr>연도별 평균색도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2026-06-24T08:23:11Z</cp:lastPrinted>
  <dcterms:created xsi:type="dcterms:W3CDTF">2020-03-27T05:08:45Z</dcterms:created>
  <dcterms:modified xsi:type="dcterms:W3CDTF">2026-10-08T05:43:53Z</dcterms:modified>
</cp:coreProperties>
</file>