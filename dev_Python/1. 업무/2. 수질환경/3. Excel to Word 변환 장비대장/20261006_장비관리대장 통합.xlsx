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 수질환경\1. 일반\3. 장비대장\2026 장비대장\"/>
    </mc:Choice>
  </mc:AlternateContent>
  <xr:revisionPtr revIDLastSave="0" documentId="13_ncr:1_{891CC12F-EE62-4C3A-A207-57DC237124D7}" xr6:coauthVersionLast="47" xr6:coauthVersionMax="47" xr10:uidLastSave="{00000000-0000-0000-0000-000000000000}"/>
  <bookViews>
    <workbookView xWindow="-120" yWindow="-120" windowWidth="29040" windowHeight="15720" tabRatio="503" xr2:uid="{00000000-000D-0000-FFFF-FFFF00000000}"/>
  </bookViews>
  <sheets>
    <sheet name="장비대장" sheetId="3" r:id="rId1"/>
    <sheet name="폐기장비" sheetId="5" r:id="rId2"/>
    <sheet name="장비구성" sheetId="6" r:id="rId3"/>
  </sheets>
  <definedNames>
    <definedName name="_xlnm._FilterDatabase" localSheetId="2" hidden="1">장비구성!$A$1:$E$71</definedName>
    <definedName name="_xlnm._FilterDatabase" localSheetId="0" hidden="1">장비대장!$A$1:$U$48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9" i="3" l="1"/>
  <c r="P2" i="5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5" i="3"/>
  <c r="Q21" i="3"/>
  <c r="Q22" i="3"/>
  <c r="Q23" i="3"/>
  <c r="Q37" i="3"/>
  <c r="Q24" i="3"/>
  <c r="Q26" i="3"/>
  <c r="Q27" i="3"/>
  <c r="Q28" i="3"/>
  <c r="Q29" i="3"/>
  <c r="Q30" i="3"/>
  <c r="Q31" i="3"/>
  <c r="Q32" i="3"/>
  <c r="Q33" i="3"/>
  <c r="Q34" i="3"/>
  <c r="Q35" i="3"/>
  <c r="Q42" i="3"/>
  <c r="Q43" i="3"/>
  <c r="Q36" i="3"/>
  <c r="Q38" i="3"/>
  <c r="Q39" i="3"/>
  <c r="Q40" i="3"/>
  <c r="Q41" i="3"/>
  <c r="Q44" i="3"/>
  <c r="Q45" i="3"/>
  <c r="Q46" i="3"/>
  <c r="Q47" i="3"/>
  <c r="Q48" i="3"/>
  <c r="Q2" i="3"/>
</calcChain>
</file>

<file path=xl/sharedStrings.xml><?xml version="1.0" encoding="utf-8"?>
<sst xmlns="http://schemas.openxmlformats.org/spreadsheetml/2006/main" count="1004" uniqueCount="599">
  <si>
    <t>관리번호</t>
  </si>
  <si>
    <t>구입일련번호</t>
  </si>
  <si>
    <t>물품번호</t>
  </si>
  <si>
    <t>물품명(내부)</t>
  </si>
  <si>
    <t>구입년도</t>
  </si>
  <si>
    <t>수량</t>
  </si>
  <si>
    <t>외부금액(천원)</t>
  </si>
  <si>
    <t>04-장비-60</t>
  </si>
  <si>
    <t>04-장비-30</t>
  </si>
  <si>
    <t>용도</t>
  </si>
  <si>
    <t>전기식지시저울(분석저울)</t>
  </si>
  <si>
    <t>장소</t>
  </si>
  <si>
    <t>04-장비-05</t>
  </si>
  <si>
    <t>분석저울</t>
  </si>
  <si>
    <t>[0000000001127141]</t>
  </si>
  <si>
    <t>41104914-20865022</t>
  </si>
  <si>
    <t>여과기(보틀탑필터또는여과컵)</t>
  </si>
  <si>
    <t>3구 1set</t>
  </si>
  <si>
    <t>04-장비-75</t>
  </si>
  <si>
    <t>04-장비-31</t>
  </si>
  <si>
    <t>휴대용 현장수질검사기(수질분석기)</t>
  </si>
  <si>
    <t>수질분석기</t>
  </si>
  <si>
    <t>04-장비-76</t>
  </si>
  <si>
    <t>04-장비-40</t>
  </si>
  <si>
    <t>pH meter</t>
  </si>
  <si>
    <t>pH측정기</t>
  </si>
  <si>
    <t>04-장비-79</t>
  </si>
  <si>
    <t>시료여과</t>
  </si>
  <si>
    <t>04-장비-48</t>
  </si>
  <si>
    <t>인큐베이터(중력대류식범용배양기)</t>
  </si>
  <si>
    <t>수질환경팀 실험실</t>
  </si>
  <si>
    <t>04-장비-104</t>
  </si>
  <si>
    <t>중력대류식범용배양기</t>
  </si>
  <si>
    <t>04-장비-06</t>
  </si>
  <si>
    <t>[0000000001127140]</t>
  </si>
  <si>
    <t>04-장비-56</t>
  </si>
  <si>
    <t>원심분리기</t>
  </si>
  <si>
    <t>[0000000001127384]</t>
  </si>
  <si>
    <t>41111517-20915745</t>
  </si>
  <si>
    <t>SARTORIUS LE244S</t>
  </si>
  <si>
    <t>04-장비-74</t>
  </si>
  <si>
    <t>질량분석기</t>
  </si>
  <si>
    <t>04-장비-95</t>
  </si>
  <si>
    <t>질량분석기(GC/MS)</t>
  </si>
  <si>
    <t>시료전처리장치(마이크로웨이브오븐)</t>
  </si>
  <si>
    <t>시약측량</t>
  </si>
  <si>
    <t>마이크로웨이브오븐</t>
  </si>
  <si>
    <t>[0000000001127172]</t>
  </si>
  <si>
    <t>41113319-20591256</t>
  </si>
  <si>
    <t>수은분석기</t>
  </si>
  <si>
    <t>YSI 556MPS</t>
  </si>
  <si>
    <t>진공펌프(2대)</t>
  </si>
  <si>
    <t>진공펌프</t>
  </si>
  <si>
    <t>하천수 현장측정</t>
  </si>
  <si>
    <t>04-장비-38</t>
  </si>
  <si>
    <t>04-장비-80</t>
  </si>
  <si>
    <t>[0000000001127364]</t>
  </si>
  <si>
    <t>실험실용일반냉장고또는냉동고</t>
  </si>
  <si>
    <t>핫플레이트(실험용히터)</t>
  </si>
  <si>
    <t>HP-3</t>
  </si>
  <si>
    <t>실험실용일반냉장고또는 냉동고</t>
  </si>
  <si>
    <t>04-장비-81</t>
  </si>
  <si>
    <t>실험실용 냉난방기</t>
  </si>
  <si>
    <t>냉난방기</t>
  </si>
  <si>
    <t>시료교반</t>
  </si>
  <si>
    <t>04-장비-83</t>
  </si>
  <si>
    <t>04-장비-93</t>
  </si>
  <si>
    <t>781pH/Ion meter</t>
  </si>
  <si>
    <t>04-장비-85</t>
  </si>
  <si>
    <t>실험실용배기기</t>
  </si>
  <si>
    <t>pH 측정</t>
  </si>
  <si>
    <t>[0000000001267005]</t>
  </si>
  <si>
    <t>41104401-20197980</t>
  </si>
  <si>
    <t xml:space="preserve">MIR 553(S.N. : 0800060090) </t>
  </si>
  <si>
    <t>04-장비-55</t>
  </si>
  <si>
    <t>04-장비-86</t>
  </si>
  <si>
    <t>분광광도계</t>
  </si>
  <si>
    <t>BOD 측정</t>
  </si>
  <si>
    <t>04-장비-87</t>
  </si>
  <si>
    <t>총유기탄소분석기</t>
  </si>
  <si>
    <t>유기탄소측정기</t>
  </si>
  <si>
    <t>04-장비-52</t>
  </si>
  <si>
    <t>[0000000001267022]</t>
  </si>
  <si>
    <t>자동적정기(전위차적정기)</t>
  </si>
  <si>
    <t>876 Dosimat Plus</t>
  </si>
  <si>
    <t>04-장비-88</t>
  </si>
  <si>
    <t>질량분석기(GC-MS)</t>
  </si>
  <si>
    <t>04-장비-102</t>
  </si>
  <si>
    <t>COD 적정</t>
  </si>
  <si>
    <t>04-장비-91</t>
  </si>
  <si>
    <t>건조기</t>
  </si>
  <si>
    <t>04-장비-92</t>
  </si>
  <si>
    <t>질량분석기(LC-MS/MS)</t>
  </si>
  <si>
    <t>04-장비-94</t>
  </si>
  <si>
    <t>유도결합플라즈마</t>
  </si>
  <si>
    <t>질소농축기(진공또는원심농축기)</t>
  </si>
  <si>
    <t>진공 또는 원심농축기(질소농축기)</t>
  </si>
  <si>
    <t>04-장비-96</t>
  </si>
  <si>
    <t>적정기(전위차적정기)</t>
  </si>
  <si>
    <t>전위차적정기</t>
  </si>
  <si>
    <t>MO-212F</t>
  </si>
  <si>
    <t>04-장비-98</t>
  </si>
  <si>
    <t>이온크로마토그래프(IC)
(액체크로마토그래프)</t>
  </si>
  <si>
    <t>액체크로마토그래프</t>
  </si>
  <si>
    <t>시료 및 초자 건조</t>
  </si>
  <si>
    <t>04-장비-99</t>
  </si>
  <si>
    <t>[0000000001267319]</t>
  </si>
  <si>
    <t>40161701-20098014</t>
  </si>
  <si>
    <t>04-장비-100</t>
  </si>
  <si>
    <t>한일(한국)</t>
  </si>
  <si>
    <t>고형물 분리</t>
  </si>
  <si>
    <t>04-장비-103</t>
  </si>
  <si>
    <t>[0000000001301916]</t>
  </si>
  <si>
    <t>41111517-21162344</t>
  </si>
  <si>
    <t>SARTORIUS CPA224S</t>
  </si>
  <si>
    <t>실험용세척기</t>
  </si>
  <si>
    <t>부유물질등 무게 측정</t>
  </si>
  <si>
    <t>04-장비-61</t>
  </si>
  <si>
    <t>[0000000001301957]</t>
  </si>
  <si>
    <t>진탕기(회전식진탕기)</t>
  </si>
  <si>
    <t>SJ-RS1</t>
  </si>
  <si>
    <t>세제,노말헥산 추출</t>
  </si>
  <si>
    <t>[0000000001479443]</t>
  </si>
  <si>
    <t>41115703-20471378</t>
  </si>
  <si>
    <t>USA/7890B(5977A) 
basic 360, Ultra 370</t>
  </si>
  <si>
    <t>휘발성유기물질 측정</t>
  </si>
  <si>
    <t>토양분석팀 기기실
수질환경팀 실험실</t>
  </si>
  <si>
    <t>[0000000001560400]</t>
  </si>
  <si>
    <t>41104507-22450273</t>
  </si>
  <si>
    <t>Muitiwave pro</t>
  </si>
  <si>
    <t>중금속전처리</t>
  </si>
  <si>
    <t>[0000000001556486]</t>
  </si>
  <si>
    <t>41113328-22541382</t>
  </si>
  <si>
    <t>MA-3000</t>
  </si>
  <si>
    <t>수은분석</t>
  </si>
  <si>
    <t>04-장비-77</t>
  </si>
  <si>
    <t>[0000000001619488]</t>
  </si>
  <si>
    <t>초음파세척기</t>
  </si>
  <si>
    <t>NXPC-B5020SB</t>
  </si>
  <si>
    <t>초자세척</t>
  </si>
  <si>
    <t>04-장비-78</t>
  </si>
  <si>
    <t>[0000000001619489]</t>
  </si>
  <si>
    <t>41103706-20602831</t>
  </si>
  <si>
    <t>추출항온수조</t>
  </si>
  <si>
    <t>DS-27S6D</t>
  </si>
  <si>
    <t>COD 측정</t>
  </si>
  <si>
    <t>[0000000001619490]</t>
  </si>
  <si>
    <t>[0000000001619480]</t>
  </si>
  <si>
    <t>40151502-23175112</t>
  </si>
  <si>
    <t>ME8C NT</t>
  </si>
  <si>
    <t>부유물질 측정</t>
  </si>
  <si>
    <t>[0000000001641538]</t>
  </si>
  <si>
    <t>41103011-22914744</t>
  </si>
  <si>
    <t>GMSR-1350</t>
  </si>
  <si>
    <t>시약 및 시료보관 냉장고</t>
  </si>
  <si>
    <t>[0000000001658451]</t>
  </si>
  <si>
    <t>40101787-22669686</t>
  </si>
  <si>
    <t>엘지전자(휘센) LR-W2903P3J</t>
  </si>
  <si>
    <t>실험실 냉난방(항온유지)</t>
  </si>
  <si>
    <t>04-장비-82</t>
  </si>
  <si>
    <t>[0000000001730803]</t>
  </si>
  <si>
    <t>다솔과학, DS-80-1</t>
  </si>
  <si>
    <t>SS여과지 건조</t>
  </si>
  <si>
    <t>[0000000001730828]</t>
  </si>
  <si>
    <t>41113319-23423285</t>
  </si>
  <si>
    <t>AMS Alliance, Futura 3</t>
  </si>
  <si>
    <t>시안, 페놀류 분석</t>
  </si>
  <si>
    <t>04-장비-84</t>
  </si>
  <si>
    <t>[0000000001626410]</t>
  </si>
  <si>
    <t>닌하이드린 분석기(수질분석기)</t>
  </si>
  <si>
    <t>㈜휴마스(국산), HS-1000</t>
  </si>
  <si>
    <t>가축매몰지 관측정 수질 검사
(침출수 유출 여부 판정)</t>
  </si>
  <si>
    <t>수질환경팀 실험실 초자장</t>
  </si>
  <si>
    <t>[0000000001841504]</t>
  </si>
  <si>
    <t>41103502-20197399</t>
  </si>
  <si>
    <t>오창과학(제작)</t>
  </si>
  <si>
    <t>n-H, ABS 등 용매추출</t>
  </si>
  <si>
    <t>[0000000001841491]</t>
  </si>
  <si>
    <t>41115406-23439581</t>
  </si>
  <si>
    <t>PerkinElmer, Lambda 465</t>
  </si>
  <si>
    <t>세제,색도 등 측정</t>
  </si>
  <si>
    <t>[0000000001847050]
[0000000001847049]</t>
  </si>
  <si>
    <t>41113315-20713557</t>
  </si>
  <si>
    <t>Analytik jena, Multi N/C 3100</t>
  </si>
  <si>
    <t>TOC 분석</t>
  </si>
  <si>
    <t>[0000000001847052]
[0000000001847051]</t>
  </si>
  <si>
    <t>41115404-22795804</t>
  </si>
  <si>
    <t>SCION SQ GC/MS 
(with 450GC)</t>
  </si>
  <si>
    <t>미량 유기물질 분석</t>
  </si>
  <si>
    <t>토양분석팀 기기실</t>
  </si>
  <si>
    <t>04-장비-90</t>
  </si>
  <si>
    <t>[0000000001885484]</t>
  </si>
  <si>
    <t>41104401-20485499</t>
  </si>
  <si>
    <t>BOD 인큐베이터(중력대류식범용배양기)</t>
  </si>
  <si>
    <t>비전과학</t>
  </si>
  <si>
    <t>[0000000001885485]</t>
  </si>
  <si>
    <t>[0000000001894649]</t>
  </si>
  <si>
    <t>41113319-21726216</t>
  </si>
  <si>
    <t>Seal analytical, DE/QuAAtro</t>
  </si>
  <si>
    <t>T-N, T-P 분석</t>
  </si>
  <si>
    <t>41115404-23680632</t>
  </si>
  <si>
    <t>AB SCIEX, Qtrap5500+</t>
  </si>
  <si>
    <t>과불화화합물 분석</t>
  </si>
  <si>
    <t>먹는물검사팀 유기분석실</t>
  </si>
  <si>
    <t>[0000000001945543]</t>
  </si>
  <si>
    <t>41103011-23334425</t>
  </si>
  <si>
    <t>UDS-45RIE-1</t>
  </si>
  <si>
    <t>시료보관용 냉장고</t>
  </si>
  <si>
    <t>[0000000001945544]</t>
  </si>
  <si>
    <t>[0000000001959312]</t>
  </si>
  <si>
    <t>41115411-24171998</t>
  </si>
  <si>
    <t>Avio-550 Max</t>
  </si>
  <si>
    <t>중금속류 분석</t>
  </si>
  <si>
    <t>[0000000001742336]</t>
  </si>
  <si>
    <t>41104816-20197129</t>
  </si>
  <si>
    <t>Evatros T.C.S</t>
  </si>
  <si>
    <t>미량 유기화합물질 시료농축</t>
  </si>
  <si>
    <t>[0000000001997473]</t>
  </si>
  <si>
    <t>41115602-24478273</t>
  </si>
  <si>
    <t>876 Manual Titratior Plus</t>
  </si>
  <si>
    <t>04-장비-97</t>
  </si>
  <si>
    <t>[0000000002000160]</t>
  </si>
  <si>
    <t>진탕기(왕복식진탕기)</t>
  </si>
  <si>
    <t>C-SKR</t>
  </si>
  <si>
    <t xml:space="preserve">노르말헥산 추출물질용(2L전용) </t>
  </si>
  <si>
    <t>[0000000001997469]</t>
  </si>
  <si>
    <t>41115705-22651356</t>
  </si>
  <si>
    <t>Metrohm, 930 Compact IC Flex Ses</t>
  </si>
  <si>
    <t>이온물질분석</t>
  </si>
  <si>
    <t>[0000000002007785]</t>
  </si>
  <si>
    <t>Seal analytical, QuAAtro 39</t>
  </si>
  <si>
    <t>불소, 암모니아성질소, ABS 분석</t>
  </si>
  <si>
    <t>[0000000001945541]</t>
  </si>
  <si>
    <t>41103502-23387941</t>
  </si>
  <si>
    <t>삼인싸이언스</t>
  </si>
  <si>
    <t>COD 분석</t>
  </si>
  <si>
    <t>[0000000001945542]</t>
  </si>
  <si>
    <t>04-장비-101</t>
  </si>
  <si>
    <t>[0000000002074727]</t>
  </si>
  <si>
    <t>24131501-23636651</t>
  </si>
  <si>
    <t>냉장냉동겸용장치</t>
  </si>
  <si>
    <t>냉장고, 우성기업, GWFD-1260RFEC1, 1055L</t>
  </si>
  <si>
    <t>[0000000002074726]</t>
  </si>
  <si>
    <t>[0000000002074723]</t>
  </si>
  <si>
    <t>pH측정기, Thermo orion, (US)230A</t>
  </si>
  <si>
    <t>[0000000002074748]</t>
  </si>
  <si>
    <t>자외-가시선분광광도계, Shimadzu, (JP)UV-2600i Plus, 185~900nm</t>
  </si>
  <si>
    <t>[0000000002074722]</t>
  </si>
  <si>
    <t>41115603-10047002</t>
  </si>
  <si>
    <t>GW6010ML,Smeg</t>
  </si>
  <si>
    <t>폐기</t>
    <phoneticPr fontId="1" type="noConversion"/>
  </si>
  <si>
    <t>분광광도계(uv/vis spectrophotometer)</t>
    <phoneticPr fontId="1" type="noConversion"/>
  </si>
  <si>
    <t>41103811-20486884</t>
    <phoneticPr fontId="1" type="noConversion"/>
  </si>
  <si>
    <t>41104510-10049553</t>
    <phoneticPr fontId="1" type="noConversion"/>
  </si>
  <si>
    <t>건조캐비닛또는오븐</t>
    <phoneticPr fontId="1" type="noConversion"/>
  </si>
  <si>
    <t>[0000000001895369]
[0000000001909737]</t>
    <phoneticPr fontId="1" type="noConversion"/>
  </si>
  <si>
    <t>회전식진탕기</t>
    <phoneticPr fontId="1" type="noConversion"/>
  </si>
  <si>
    <t>41103011-23334425</t>
    <phoneticPr fontId="1" type="noConversion"/>
  </si>
  <si>
    <t>40101787-23933980</t>
    <phoneticPr fontId="1" type="noConversion"/>
  </si>
  <si>
    <t>41104914-20865022</t>
    <phoneticPr fontId="1" type="noConversion"/>
  </si>
  <si>
    <t>보틀탑필터또는여과컵</t>
    <phoneticPr fontId="1" type="noConversion"/>
  </si>
  <si>
    <t>41102404-20457643</t>
    <phoneticPr fontId="1" type="noConversion"/>
  </si>
  <si>
    <t>실험실용히터</t>
    <phoneticPr fontId="1" type="noConversion"/>
  </si>
  <si>
    <t>41115602-10047079</t>
    <phoneticPr fontId="1" type="noConversion"/>
  </si>
  <si>
    <t>전위차적정기</t>
    <phoneticPr fontId="1" type="noConversion"/>
  </si>
  <si>
    <t>42281712-22625283</t>
    <phoneticPr fontId="1" type="noConversion"/>
  </si>
  <si>
    <t>초음파세척기</t>
    <phoneticPr fontId="1" type="noConversion"/>
  </si>
  <si>
    <t>41103706-20602831</t>
    <phoneticPr fontId="1" type="noConversion"/>
  </si>
  <si>
    <t>항온수조</t>
    <phoneticPr fontId="1" type="noConversion"/>
  </si>
  <si>
    <t>41104510-20406573</t>
    <phoneticPr fontId="1" type="noConversion"/>
  </si>
  <si>
    <t>41113319-20485542</t>
    <phoneticPr fontId="1" type="noConversion"/>
  </si>
  <si>
    <t>수질분석기</t>
    <phoneticPr fontId="1" type="noConversion"/>
  </si>
  <si>
    <t>41104401-20485499</t>
    <phoneticPr fontId="1" type="noConversion"/>
  </si>
  <si>
    <t>중력대류식범용배양기</t>
    <phoneticPr fontId="1" type="noConversion"/>
  </si>
  <si>
    <t>41103812-20728003</t>
    <phoneticPr fontId="1" type="noConversion"/>
  </si>
  <si>
    <t>왕복식진탕기</t>
    <phoneticPr fontId="1" type="noConversion"/>
  </si>
  <si>
    <t>24131501-23636651</t>
    <phoneticPr fontId="1" type="noConversion"/>
  </si>
  <si>
    <t>냉장냉동겸용장치</t>
    <phoneticPr fontId="1" type="noConversion"/>
  </si>
  <si>
    <t>DU-800 Kinetics Package</t>
    <phoneticPr fontId="1" type="noConversion"/>
  </si>
  <si>
    <t>04-장비-42</t>
    <phoneticPr fontId="1" type="noConversion"/>
  </si>
  <si>
    <t>건조기(건조캐비닛또는오븐)</t>
    <phoneticPr fontId="1" type="noConversion"/>
  </si>
  <si>
    <t>구입일(내부)</t>
    <phoneticPr fontId="1" type="noConversion"/>
  </si>
  <si>
    <t>폐기일</t>
    <phoneticPr fontId="1" type="noConversion"/>
  </si>
  <si>
    <t>이관일</t>
    <phoneticPr fontId="1" type="noConversion"/>
  </si>
  <si>
    <t>내부금액(원)</t>
    <phoneticPr fontId="1" type="noConversion"/>
  </si>
  <si>
    <t>[0000000001127378]</t>
  </si>
  <si>
    <t>41115406-10047317</t>
  </si>
  <si>
    <t>취득일(의회)</t>
    <phoneticPr fontId="1" type="noConversion"/>
  </si>
  <si>
    <t>04-장비-42 분광광도계 대체</t>
    <phoneticPr fontId="1" type="noConversion"/>
  </si>
  <si>
    <t>pH측정기</t>
    <phoneticPr fontId="1" type="noConversion"/>
  </si>
  <si>
    <t>내용</t>
    <phoneticPr fontId="1" type="noConversion"/>
  </si>
  <si>
    <t>외자조달수수료 1,669,930원</t>
    <phoneticPr fontId="1" type="noConversion"/>
  </si>
  <si>
    <t>외자조달수수료 652,300원</t>
    <phoneticPr fontId="1" type="noConversion"/>
  </si>
  <si>
    <t>외자조달수수료 2,498,470원, 382,580원</t>
    <phoneticPr fontId="1" type="noConversion"/>
  </si>
  <si>
    <t>2023년 행정사무감사 목록에서 제외(1회성)</t>
    <phoneticPr fontId="1" type="noConversion"/>
  </si>
  <si>
    <t>04-장비-05-06 세트</t>
    <phoneticPr fontId="1" type="noConversion"/>
  </si>
  <si>
    <t>구리농수산물검사소에서 2022-10-19 가져옴</t>
    <phoneticPr fontId="1" type="noConversion"/>
  </si>
  <si>
    <t>북부지원 토양팀에서 2019-12-23 가져옴</t>
    <phoneticPr fontId="1" type="noConversion"/>
  </si>
  <si>
    <t>04-장비-25 폐기 후 대체</t>
    <phoneticPr fontId="1" type="noConversion"/>
  </si>
  <si>
    <t>04-장비-55 대체품 명목으로 구매했으나 현재 운용 중</t>
    <phoneticPr fontId="1" type="noConversion"/>
  </si>
  <si>
    <t>04-장비-48, 49 대체품 명목으로 구매를 했으나, 49번은 생태팀으로, 48번은 현재 운용 중</t>
    <phoneticPr fontId="1" type="noConversion"/>
  </si>
  <si>
    <t>최초 2대 구입 후, 팀 분리로 인해 토양팀으로 이관(이관일자 정보 없음, 조회된 가장 오래전 년도 적용)</t>
    <phoneticPr fontId="1" type="noConversion"/>
  </si>
  <si>
    <t>1대로 등록되었으나 장비는 실제 장비는 세트로 2대</t>
    <phoneticPr fontId="1" type="noConversion"/>
  </si>
  <si>
    <t>물환경연구부 산업폐수팀에서 이관(이관일자 정보 없음, 조회된 가장 오래전 년도 적용)</t>
    <phoneticPr fontId="1" type="noConversion"/>
  </si>
  <si>
    <t>40101806-21087037</t>
    <phoneticPr fontId="1" type="noConversion"/>
  </si>
  <si>
    <t>폐기(폐기일자 정보 없음, 조회된 가장 오래전 년도 적용)</t>
    <phoneticPr fontId="1" type="noConversion"/>
  </si>
  <si>
    <t>수관일</t>
    <phoneticPr fontId="1" type="noConversion"/>
  </si>
  <si>
    <t>기체크로마토그래프와 함께 증류수장치 도입됨 한 세트로 묶임</t>
    <phoneticPr fontId="1" type="noConversion"/>
  </si>
  <si>
    <t>물품번호 없는 상태로 꽤 오래전부터 등록되었음, 현재 전극 교체후 운용 중(2026-09-30 기준)</t>
    <phoneticPr fontId="1" type="noConversion"/>
  </si>
  <si>
    <t>기체크로마토그래프/질량분석기+증류수 제조장치</t>
    <phoneticPr fontId="1" type="noConversion"/>
  </si>
  <si>
    <t>물품번호 오류 등록하여 수정 불가.(물품번호 냉난방기)</t>
    <phoneticPr fontId="1" type="noConversion"/>
  </si>
  <si>
    <t>물품번호 오류 등록하여 수정 불가.(물품번호 열펌프)</t>
    <phoneticPr fontId="1" type="noConversion"/>
  </si>
  <si>
    <t>실험실용일반냉장고또는냉동고</t>
    <phoneticPr fontId="1" type="noConversion"/>
  </si>
  <si>
    <t>실험실용 냉장고(실험실용일반냉장고또는냉동고)</t>
    <phoneticPr fontId="1" type="noConversion"/>
  </si>
  <si>
    <t>유도결합플라즈마 분광광도계+ AAS</t>
    <phoneticPr fontId="1" type="noConversion"/>
  </si>
  <si>
    <t>세제, 색도 측정</t>
    <phoneticPr fontId="1" type="noConversion"/>
  </si>
  <si>
    <t>순번</t>
    <phoneticPr fontId="1" type="noConversion"/>
  </si>
  <si>
    <t>상태</t>
    <phoneticPr fontId="1" type="noConversion"/>
  </si>
  <si>
    <t>사용</t>
    <phoneticPr fontId="1" type="noConversion"/>
  </si>
  <si>
    <t>물품명(외부 보고용)</t>
    <phoneticPr fontId="1" type="noConversion"/>
  </si>
  <si>
    <t>규격</t>
    <phoneticPr fontId="1" type="noConversion"/>
  </si>
  <si>
    <t>취득일(확정)</t>
    <phoneticPr fontId="1" type="noConversion"/>
  </si>
  <si>
    <t>바고</t>
    <phoneticPr fontId="1" type="noConversion"/>
  </si>
  <si>
    <t>제조사</t>
  </si>
  <si>
    <t>제조국</t>
  </si>
  <si>
    <t>Nalgene</t>
  </si>
  <si>
    <t>Sartorius</t>
  </si>
  <si>
    <t>미국</t>
  </si>
  <si>
    <t>YSI</t>
  </si>
  <si>
    <t>우주과학</t>
  </si>
  <si>
    <t>Metrohm</t>
  </si>
  <si>
    <t>스위스</t>
  </si>
  <si>
    <t>SANYO</t>
  </si>
  <si>
    <t>일본</t>
  </si>
  <si>
    <t>한일</t>
  </si>
  <si>
    <t>한국</t>
  </si>
  <si>
    <t>GERMANY</t>
  </si>
  <si>
    <t>세종과학</t>
  </si>
  <si>
    <t>Agilent</t>
  </si>
  <si>
    <t>Austria</t>
  </si>
  <si>
    <t>NIC</t>
  </si>
  <si>
    <t>국산</t>
  </si>
  <si>
    <t>다솔과학</t>
  </si>
  <si>
    <t>Vacuubrand</t>
  </si>
  <si>
    <t>독일</t>
  </si>
  <si>
    <t>주식회사 지엠에스</t>
  </si>
  <si>
    <t>엘지전자(주) 창원2공장</t>
  </si>
  <si>
    <t>AMS Alliance</t>
  </si>
  <si>
    <t>프랑스</t>
  </si>
  <si>
    <t>㈜휴마스</t>
  </si>
  <si>
    <t>오창과학상사</t>
  </si>
  <si>
    <t>PerkinElmer</t>
  </si>
  <si>
    <t>U.S.A.</t>
  </si>
  <si>
    <t>analytikjena</t>
  </si>
  <si>
    <t>SCION Instrument</t>
  </si>
  <si>
    <t>주식회사 비전</t>
  </si>
  <si>
    <t>대한민국</t>
  </si>
  <si>
    <t>SEAL Analytical GmbH</t>
  </si>
  <si>
    <t>AB SCIEX</t>
  </si>
  <si>
    <t>싱가포르</t>
  </si>
  <si>
    <t>유니크 대성 (한국) 1588-9269</t>
  </si>
  <si>
    <t>퍼킨엘머</t>
  </si>
  <si>
    <t>㈜구정 엔지니어링</t>
  </si>
  <si>
    <t>SEAL  Analytical GmbH</t>
  </si>
  <si>
    <t>그랜드우성</t>
  </si>
  <si>
    <t>Thermo  Scientific Orion</t>
  </si>
  <si>
    <t>Shimadzu</t>
  </si>
  <si>
    <t>Smeg</t>
  </si>
  <si>
    <t>이탈리아</t>
  </si>
  <si>
    <t>도입 회사명</t>
  </si>
  <si>
    <t>도입처 주소</t>
  </si>
  <si>
    <t>연락처</t>
  </si>
  <si>
    <t>대일엔지니어링</t>
  </si>
  <si>
    <t>안양시동안구 호계1동 995-2</t>
  </si>
  <si>
    <t>02-469-6420</t>
  </si>
  <si>
    <t>종로구 장사동 208-1</t>
  </si>
  <si>
    <t>02-384-0490</t>
  </si>
  <si>
    <t>바이켐</t>
  </si>
  <si>
    <t>서울시 중랑구 묵1동 155-4</t>
  </si>
  <si>
    <t>02-935-2143</t>
  </si>
  <si>
    <t>(주)한국싸토리우스 메카트로닉스</t>
  </si>
  <si>
    <t>서울 서초구 양재동 209-3 양재빌딩</t>
  </si>
  <si>
    <t>02-575-6945</t>
  </si>
  <si>
    <t>부천 오정구 내동344 다우테크노타운 404</t>
  </si>
  <si>
    <t>032-676-6641</t>
  </si>
  <si>
    <t>영인과학</t>
  </si>
  <si>
    <t>서울 강난구 압구정로 28길 22</t>
  </si>
  <si>
    <t>02-519-7300</t>
  </si>
  <si>
    <t>안톤파 코리아 주식회사</t>
  </si>
  <si>
    <t>송파구 중대로 135 IT벤처타워 동관 13층 1301호</t>
  </si>
  <si>
    <t>02-6747-5771</t>
  </si>
  <si>
    <t>한국 ITS</t>
  </si>
  <si>
    <t>송파구 백제고분로 101 서일빌딩 4층</t>
  </si>
  <si>
    <t>02-421-4022</t>
  </si>
  <si>
    <t>㈜뉴런핏</t>
  </si>
  <si>
    <t>서울시 금천구 가산동 이앤씨드림타워 8차 902호</t>
  </si>
  <si>
    <t>02 6340 6300</t>
  </si>
  <si>
    <t>㈜다솔과학</t>
  </si>
  <si>
    <t>경기도 화성시 삼성1로2길 10</t>
  </si>
  <si>
    <t>031 376 1526</t>
  </si>
  <si>
    <t>에이스싸이언스</t>
  </si>
  <si>
    <t>의정부시 능곡로 26번길 28</t>
  </si>
  <si>
    <t>031 846 5300</t>
  </si>
  <si>
    <t>양주시 은현면 검준2길 201-22</t>
  </si>
  <si>
    <t>010-8666-6344</t>
  </si>
  <si>
    <t>엘지전자(주)</t>
  </si>
  <si>
    <t>경남 창원시 엘지전자 창원2공장</t>
  </si>
  <si>
    <t>1544-7777</t>
  </si>
  <si>
    <t>경기도 화성시 삼성1로 2길 10번지 (석우동 22-4)</t>
  </si>
  <si>
    <t>031-376-1526</t>
  </si>
  <si>
    <t>E&amp;C Technology Co.,Ltd.</t>
  </si>
  <si>
    <t>서울특별시 구로구 디지털로 288, 1706호(대륭포스트타워 1차)</t>
  </si>
  <si>
    <t>2138-6578</t>
  </si>
  <si>
    <t>대전광역시 유성구 가정북로 26-77</t>
  </si>
  <si>
    <t>042-864-2462</t>
  </si>
  <si>
    <t>안양시 동안구 흥안대로 112-1 웰빙타워 303호</t>
  </si>
  <si>
    <t>031-466-5503</t>
  </si>
  <si>
    <t>㈜신코 (Sinco)</t>
  </si>
  <si>
    <t>서울시 강남구 봉은사로 627</t>
  </si>
  <si>
    <t>02-2143-8200</t>
  </si>
  <si>
    <t>analytikjena korea</t>
  </si>
  <si>
    <t>송파구 충민로 52 가든파이브웍스 B-803, 8층</t>
  </si>
  <si>
    <t>싸이언인스트루먼트코리아 주식회사</t>
  </si>
  <si>
    <t>경기도 용인시 기흥구 흥덕중앙로120 유타워 2302호(16950)</t>
  </si>
  <si>
    <t>031-712-7373</t>
  </si>
  <si>
    <t>부천시 오정 삼정 삼작로 121번길 33</t>
  </si>
  <si>
    <t>010-6271-8372</t>
  </si>
  <si>
    <t>㈜비엘텍코리아 호남지사</t>
  </si>
  <si>
    <t>전라북도 정읍시 상사4길 23-0(상동) C동</t>
  </si>
  <si>
    <t>010-2371-4392</t>
  </si>
  <si>
    <t>한국랩스 주식회사</t>
  </si>
  <si>
    <t>경기도 성남시 분당구 판교공원로3길 2, 201호 (판교동)</t>
  </si>
  <si>
    <t>031-708-8229</t>
  </si>
  <si>
    <t>행복프로세스사회적협동조합</t>
  </si>
  <si>
    <t>경기도 남양주시 다산중앙로19번길25-2 3 (다산동) 블루웨일2차 F610호</t>
  </si>
  <si>
    <t>02-1644-0826</t>
  </si>
  <si>
    <t>퍼킨엘머 유한회사</t>
  </si>
  <si>
    <t>서울특별시 구로구 디지털로 31길 20, 13층 1302~1310호(구로동, 에이스테크노타워5차)</t>
  </si>
  <si>
    <t>042-862-7111</t>
  </si>
  <si>
    <t>서울 구로구 디지털로</t>
  </si>
  <si>
    <t>02-3281 -3376</t>
  </si>
  <si>
    <t>㈜제이엘 사이언스</t>
  </si>
  <si>
    <t>서울특별시 양천구 신정로 267, 606호</t>
  </si>
  <si>
    <t>02-2065-6996</t>
  </si>
  <si>
    <t>비엘텍코리아(주)</t>
  </si>
  <si>
    <t>서울특별시 영등포구 경인로 755, 에이스하이테크시티 1동 1607호</t>
  </si>
  <si>
    <t>02-722-0760</t>
  </si>
  <si>
    <t>삼인싸이언스(주)</t>
  </si>
  <si>
    <t>안산시 단원구 엠티브이4로48번길 27(목내동)</t>
  </si>
  <si>
    <t>02-2163-8940</t>
  </si>
  <si>
    <t>서울특별시 성동구 청계천로 458</t>
  </si>
  <si>
    <t>02-2237-7950</t>
  </si>
  <si>
    <t>㈜랩사이언스</t>
  </si>
  <si>
    <t>경기도 하남시 조정대로 150 아이테코 1003</t>
  </si>
  <si>
    <t>031-790-4123</t>
  </si>
  <si>
    <t>시리우스테크놀러지스</t>
  </si>
  <si>
    <t>경기도 안산시 단원구 별망로453, 604-1호(목내동)</t>
  </si>
  <si>
    <t>031-364-8262</t>
  </si>
  <si>
    <t>㈜휴먼코퍼레이션</t>
  </si>
  <si>
    <t>서울특별시 송파구 가락로 36(석촌동, 휴먼빌딩)</t>
  </si>
  <si>
    <t>02-418-4182</t>
  </si>
  <si>
    <t>하·폐수, 하천수 pH 측정</t>
  </si>
  <si>
    <t>6가크롬, 색도, 클로로필 a 분석</t>
  </si>
  <si>
    <t>상태</t>
  </si>
  <si>
    <t>내용</t>
  </si>
  <si>
    <t>신품</t>
  </si>
  <si>
    <t>Volume : (0 ~ 20) mL
Dosing Error : ±30  uL
Max Permissible Systematic Error : ±0.21 %, ±40 uL
Max Permissible Random Error : ±0.07 %, ±14 uL</t>
  </si>
  <si>
    <t>용량 : 150 L
사용온도 : (45 ~ 200) ℃
PID Control
무게 : 66 kg
S/N : 07120020</t>
  </si>
  <si>
    <t>(Serial No. SJ09032701)
 - Motor : Brushless DC Induction Motor, 1/8 HP
 - Stroke : 35 mm
 - Timer : Max. 99 h, Electronic Type
 - Capacity : 1 L X 6 ea
 - Power Source : 220V AC, 60Hz, 30 W
 - RPM : 250 rpm</t>
  </si>
  <si>
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</si>
  <si>
    <t>- 광다이오드 어레이 자외선-가시광선 분광광도계
See-Through 구조의 텅스텐 램프와 중수소 램프
1024채널 광다이오드 어레이 검출기
파장범위 190 ~ 1100nm
파장분해능 1nm
측정모드: Au, %T, %R, Intensity, 정량모드, 두께측정모드
최소측정시간 : 20msec
Auto Sipper system
 물품분류번호 : 41115406 - 23439581</t>
  </si>
  <si>
    <t>연락처 비고</t>
  </si>
  <si>
    <t>김복열 011-9163-8316</t>
  </si>
  <si>
    <t>010-3094-7977 (정희상)</t>
  </si>
  <si>
    <t>대표) Fax) 02-6747-5772 010-4284-2542 (기술영엄부, 박재남)</t>
  </si>
  <si>
    <t>대표) Fax) 02-421-9022 010-6255-5617 (김융석 차장)</t>
  </si>
  <si>
    <t>02 6340 6306</t>
  </si>
  <si>
    <t>031 377 4264</t>
  </si>
  <si>
    <t>031 843 5757</t>
  </si>
  <si>
    <t>031) 858-6344</t>
  </si>
  <si>
    <t>Tel. 1588-7777</t>
  </si>
  <si>
    <t>010-3269-5503</t>
  </si>
  <si>
    <t>02) 541-4360</t>
  </si>
  <si>
    <t>02-2065-6999</t>
  </si>
  <si>
    <t>물품명</t>
    <phoneticPr fontId="1" type="noConversion"/>
  </si>
  <si>
    <t>ea</t>
  </si>
  <si>
    <t>Delivery flow system</t>
  </si>
  <si>
    <t>Detergent level sensor</t>
  </si>
  <si>
    <t>Support for beakers (50 or more beakers available)</t>
  </si>
  <si>
    <t>Washing Insert</t>
  </si>
  <si>
    <t>Injection nozzle (56 or more nozzels available)</t>
  </si>
  <si>
    <t>Washing and disinfection Machine</t>
  </si>
  <si>
    <t>set</t>
  </si>
  <si>
    <t>Data Processing Unit</t>
  </si>
  <si>
    <t>Power CORD SET,PHP-206S+PHS-301 2.4M (KOR)</t>
  </si>
  <si>
    <t>Type1 P-10, V-3.5mL Quartz Cell</t>
  </si>
  <si>
    <t>RECTANG.CELL,50MM(S)</t>
  </si>
  <si>
    <t>Rect. Long Path Cell Holder, for UV-240</t>
  </si>
  <si>
    <t>Multi-Cell Sample Comp, 1600</t>
  </si>
  <si>
    <t>Sipper Unit 160L, UV</t>
  </si>
  <si>
    <t>UV-VIS Spectrophotometer, UV-2600i Plus</t>
  </si>
  <si>
    <t>VSTAR12</t>
  </si>
  <si>
    <t>대</t>
  </si>
  <si>
    <t>냉장고</t>
  </si>
  <si>
    <t>실험실용배기기(CHS-N12150)</t>
  </si>
  <si>
    <t>세트</t>
  </si>
  <si>
    <t>Advanced cooling module</t>
  </si>
  <si>
    <t>On-Line Distillation system
(Ammonia, Fluoride)</t>
  </si>
  <si>
    <t>Automatic cleaning &amp; shut down system</t>
  </si>
  <si>
    <t>Auto Sampler with triple probe</t>
  </si>
  <si>
    <t>QuAAtro Three Channels System
(Ammonia, Fluoride, MBAS)</t>
  </si>
  <si>
    <t>자동용리액 제조장치</t>
  </si>
  <si>
    <t>자동시료주입기</t>
  </si>
  <si>
    <t>전도도검출기</t>
  </si>
  <si>
    <t>개</t>
  </si>
  <si>
    <t>음이온 서프레서</t>
  </si>
  <si>
    <t>시스템</t>
  </si>
  <si>
    <t>이온크로마토그래피 시스템</t>
  </si>
  <si>
    <t>PinAAcle5/900(원자흡수분광기,AAS)</t>
  </si>
  <si>
    <t>CTC PAL3 (Serial No. 555999)</t>
  </si>
  <si>
    <t>Exion LC (Serial No. AB3AD5976135)</t>
  </si>
  <si>
    <t>Qtrap5500+ (Serial No. EX231312109)</t>
  </si>
  <si>
    <t>PC</t>
  </si>
  <si>
    <t>On-line Autoclave digestion system</t>
  </si>
  <si>
    <t>Air compressor</t>
  </si>
  <si>
    <t>Auto sampling system with Ultra sonic homogenizer</t>
  </si>
  <si>
    <t>QuAAtro 39 three-channels Main system</t>
  </si>
  <si>
    <t>BOD 인큐베이터(Serial No. 12112UC0002)</t>
  </si>
  <si>
    <t>BOD 인큐베이터(Serial No. 12112UC0001)</t>
  </si>
  <si>
    <t>Thermal Desorber System</t>
  </si>
  <si>
    <t>Gas Chromatograph Mass Spectrometer System</t>
  </si>
  <si>
    <t>Ultra Sonic Bath</t>
  </si>
  <si>
    <t>Gas Generator</t>
  </si>
  <si>
    <t>Autosampler with 72 positon sample rack</t>
  </si>
  <si>
    <t>TOC Analyzer</t>
  </si>
  <si>
    <t>Operating PC System</t>
  </si>
  <si>
    <t>Accessories(Auto Sipper system, cells etc.)</t>
  </si>
  <si>
    <t>운용 소프트웨어</t>
  </si>
  <si>
    <t>광다이오드 어레이 자외선-가시광선 분광광도계</t>
  </si>
  <si>
    <t>실험테이블(간이씽크 포함)</t>
  </si>
  <si>
    <t>PP 재질 흄후드</t>
  </si>
  <si>
    <t>NRN 분석시약</t>
  </si>
  <si>
    <t>전용반응기 (HS-R200S)</t>
  </si>
  <si>
    <t>Main system</t>
  </si>
  <si>
    <t>환원기화 장치(SC-3A, RD-3A)</t>
  </si>
  <si>
    <t>Main Body</t>
  </si>
  <si>
    <t>로터 및 시료용기 세트 (24HVT50)</t>
  </si>
  <si>
    <t>로터 및 시료용기 세트(16HF100)</t>
  </si>
  <si>
    <t>2차 Ultra 370</t>
  </si>
  <si>
    <t>1차 Basic 360</t>
  </si>
  <si>
    <t>컴퓨터 및 프린터</t>
  </si>
  <si>
    <t>항온항습기(LG 휘센)</t>
  </si>
  <si>
    <t>초순수제조장치(1ck Basic 300, 2차 Ultra 370)</t>
  </si>
  <si>
    <t>Headspace(Tekmar HT3)</t>
  </si>
  <si>
    <t>방진판(석판)</t>
  </si>
  <si>
    <t>분동 200 g (지시값등급 200 g/E2)
기물번호 : 23629381</t>
  </si>
  <si>
    <t>분동 100 g (지시값등급 100 g/E2)
기물번호 : 23429415</t>
  </si>
  <si>
    <t>분동 50 g (지시값등급 50 g/E2)
기물번호 : 18929995</t>
  </si>
  <si>
    <t>관리번호</t>
    <phoneticPr fontId="1" type="noConversion"/>
  </si>
  <si>
    <t>1. pH, 온도
2. DO
3. 전기전도도 측정</t>
    <phoneticPr fontId="1" type="noConversion"/>
  </si>
  <si>
    <t>AS 변경 : 한일과학산업(주) 032-543-6906</t>
    <phoneticPr fontId="1" type="noConversion"/>
  </si>
  <si>
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  <phoneticPr fontId="1" type="noConversion"/>
  </si>
  <si>
    <t>1. 미량유해불질 정량분석
2. Qudropole Type</t>
    <phoneticPr fontId="1" type="noConversion"/>
  </si>
  <si>
    <t>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  <phoneticPr fontId="1" type="noConversion"/>
  </si>
  <si>
    <t xml:space="preserve"> 1. 세척용량 : 20 L
 2. 세척온도 : (-10 ~ 70) ℃
 3. 세척시간 : (1 ~ 99) min
 4. 진동소자 : ULTRA B.L.T Type
 5. 초음파 주파수 : 40 kHz
 6. 초음파 출력 : 500 W</t>
    <phoneticPr fontId="1" type="noConversion"/>
  </si>
  <si>
    <t xml:space="preserve"> 1. 온도범위 : (상온+5) ℃ ~ 100 ℃
 2. 수조구조 및 개수 : 1열 6개
 3. 내부용량 : 22 L
 4. 전원 : AC 220 V, 60 Hz, 3 kw
 5. 1701-111.1,  1701-111.2</t>
    <phoneticPr fontId="1" type="noConversion"/>
  </si>
  <si>
    <t xml:space="preserve"> 1. 내화학 및 내산성
 2. PTFE-Viton-섬유-Viton 4 겹으로 만든 샌드위치 디자인
 3. 스테이지수 ; 1
 4. 다이어프램 수 : 4
 5. 최종 진공도 : 52 Torr (70 mbar)
 6. 진공속도 : 130 L/min
 7. 2기 구매</t>
    <phoneticPr fontId="1" type="noConversion"/>
  </si>
  <si>
    <t xml:space="preserve">  - 법적냉동능력 6.09 RT
  - 냉방 정격능력 29,000 W
  - 난방 정격능력 33,000 W
  - 최대운전전류 32.0A
  - 옥내용 113kg(옥외 실외기 별도)</t>
    <phoneticPr fontId="1" type="noConversion"/>
  </si>
  <si>
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</t>
    <phoneticPr fontId="1" type="noConversion"/>
  </si>
  <si>
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</t>
    <phoneticPr fontId="1" type="noConversion"/>
  </si>
  <si>
    <t>내산성 PP테이블탑 더블 흄후드
 - PTFH-1500D(1500W x 1500D)
 - PTFH-1800D(1800W x 1500D)
2. 벽면실험테이블 &amp; 세라스톤상판
 - 실험테이블(1500W x 1800D x 800H)
 - 실험테이블(1800W x 1800D x 800H)
 - 1800W용 3구 수전, 간이씽크(300W x 200D) 포함</t>
    <phoneticPr fontId="1" type="noConversion"/>
  </si>
  <si>
    <t>SCION SQ Quadrupole Mass Spectrometer
456-GC Gas Chromatograph
CP-8400 Liquid AutoSampler
PerkinElmer TurboMatrix 40 Mid-range Headspace AutoSampler</t>
    <phoneticPr fontId="1" type="noConversion"/>
  </si>
  <si>
    <t>Mass Range: m/z 5 to 1,250
Scan Speed: 20,000 Da/sec
Polarity Switching Speed: 5 msec
Minimum Dwell Time: 1 msec
Mass Stability: ≤0.1 Da over 24
Dinamic range: 6 order
Electrospray positive sensitivity: S/N &gt; 500,000:1</t>
    <phoneticPr fontId="1" type="noConversion"/>
  </si>
  <si>
    <t xml:space="preserve"> - Accuracy: T-N(&lt;1.0%), T-P(&lt;1.0%)
Detection limit: T-N(0.01ppm, 0.001-4mg/L),
                 T-P(0.001ppm, 0.003-0.5mg/L)
 - Air compressor with gage range: 0 to 0.4 Mpa
 - On-line Autoclave digestion system
  : Temp Range(room temp. to 200℃.)</t>
    <phoneticPr fontId="1" type="noConversion"/>
  </si>
  <si>
    <t>실험실용일반냉장고, 유니크대성
0~5℃, 1119L, 149kg</t>
    <phoneticPr fontId="1" type="noConversion"/>
  </si>
  <si>
    <t>RF Freqeuency: 40MHz
RF Power : 1000-1500 watts
Nebulizer-corrosion resistance: 50%(v/v) solution of HCl
Plasma Argon Flow: 0-17L/ml
(Optical) Wavelength range: 163-782nm
Detector: 2SCD</t>
    <phoneticPr fontId="1" type="noConversion"/>
  </si>
  <si>
    <t>시료 농축기, 후드시설, 가스 공급장치 기능을 모두 갖춘 통합시료 농축 시스템
Evatros T.C.S(농축기), Evatros G(가스공급장치)</t>
    <phoneticPr fontId="1" type="noConversion"/>
  </si>
  <si>
    <t>Analytical Manifold D-Ammonia
 1) Measuring range: 0 - 0.5 to 0 - 7 mg/L
 2) Detection limit : 0.01 mg/L
Analytical Manifold Fluoride
 1) Measuring range: 0.01 - 10 mg/L
 2) Detection limit : 0.01 mg/L
Analytical Test kit for MBAS
 1) Measuring range: 0.004 - 1 mg/L
 2) Detection limit : 0.0041 mg/L
Autosampler Sample tube capacity: 180 + 42 ea
On-line Distillation system
 1) Temperature range: 200 ℃</t>
    <phoneticPr fontId="1" type="noConversion"/>
  </si>
  <si>
    <t>1. 챔버형 후드
 - CHS-N12150(1200×1500×1550 mm) 2대</t>
    <phoneticPr fontId="1" type="noConversion"/>
  </si>
  <si>
    <t>실험실용일반냉장 및 냉동고
냉장 0~10℃, 1055L,190kg
냉동 –24~-3℃
1260x800x1910mm</t>
    <phoneticPr fontId="1" type="noConversion"/>
  </si>
  <si>
    <t xml:space="preserve"> - 측정 범위: -2.000 ~ 20.000
 - 전극: ROSS Ultra pH/ATC 전극 (8157BNUMD)
 - 데이터 관리: 2,000개 데이터 저장
 - 인터페이스: USB, RS232
 - 전원: AC 90~260 V, 50/60 Hz</t>
    <phoneticPr fontId="1" type="noConversion"/>
  </si>
  <si>
    <t xml:space="preserve"> - 파장범위: 185 ~ 900 nm
 - 광학구조: Double Beam / Double Monochromator
 - 분광성능: 분광대역폭(SBW): 0.1 ~ 5 nm, 파장 정확도: ±0.3 nm
 - 광도성능: 흡광도 범위: –8.5 ~ 8.5 Abs
 - 광도 반복성: ±0.0002 Abs (0.5 Abs 기준)
 - 광원및관리요소: Deuterium + 50 W Halogen 램프</t>
    <phoneticPr fontId="1" type="noConversion"/>
  </si>
  <si>
    <t>연번</t>
    <phoneticPr fontId="1" type="noConversion"/>
  </si>
  <si>
    <t>수량</t>
    <phoneticPr fontId="1" type="noConversion"/>
  </si>
  <si>
    <t>단위</t>
    <phoneticPr fontId="1" type="noConversion"/>
  </si>
  <si>
    <t>set</t>
    <phoneticPr fontId="1" type="noConversion"/>
  </si>
  <si>
    <t>04-장비-기타1</t>
    <phoneticPr fontId="1" type="noConversion"/>
  </si>
  <si>
    <t>정제수 제조장치</t>
    <phoneticPr fontId="1" type="noConversion"/>
  </si>
  <si>
    <t>정제수 제조 장치</t>
    <phoneticPr fontId="1" type="noConversion"/>
  </si>
  <si>
    <t xml:space="preserve">  1. 1370 × 680 × 1450
  2. 용량 : 1350 L
  3. 외장 : Galvanized steel powder coating
  4. 내장 : ABS, PE
  5. 연구목적용 시료를 (4 ± 2) ℃로 보관하는 용도로 사용되는 핀 없는
    응축기를 이용한 무제상 냉장고</t>
    <phoneticPr fontId="1" type="noConversion"/>
  </si>
  <si>
    <t xml:space="preserve"> - Forced convection type
 - Temperature Range : Ambient to 260℃(±0.3℃ at 140℃)
 - 137L, SUS304
 - 60W blower fan
 - Over heat protector, Power breaker
 - Power(AC220V, 60Hz) 2Kw</t>
    <phoneticPr fontId="1" type="noConversion"/>
  </si>
  <si>
    <t>TOC Analyzer: multi N/C 3100
multiWinⓇ PC software
Autosampler: AS vario ER autosampler with additional needle cleaning
Sample rack: 72 positions for AS vario ER
Protective cover for AS vario and AS vario ER
Desktop PC, Laser Printer
CO2 Free Gas Generator
Ultira Sonic Bath(40 Khz)</t>
    <phoneticPr fontId="1" type="noConversion"/>
  </si>
  <si>
    <t>Temp Range: (-5 ~ 70)℃
Temp Accuracy: ±0.2℃ at 25℃
Temp Control: 10 Step Temp Program Controller
Demension(In): (600 x 600 x 1,200) mm
Demension(Out): (750 x 880 x 1,790) mm
Safety Device: High &amp; Low Temp Protector
Capacity: 432 L  - 전원: 220V, 7A, 1.5kW</t>
    <phoneticPr fontId="1" type="noConversion"/>
  </si>
  <si>
    <t>Isocratic dual piston pump Flow rate: 0.001 - 20.00 mL/min
Isocratic dual piston pump Pressure rage: 0 – 35 MPa
Injection valve Injection loop: 20 μL
Anion suppressor Type: Micro-packed bed
Conductivity Detector: DSP
Autosampler Sample tube capacity: 148 ea
Eluent production Flow rate: 0~35 MPa</t>
    <phoneticPr fontId="1" type="noConversion"/>
  </si>
  <si>
    <t xml:space="preserve"> - 제어방식: 마이크로컨트롤러 기반 자동 세척 시스템
 - 탱크 재질: AISI 316L 스테인리스
 - 세척 성능: 세척 펌프 유량 600 L/min
 - 온도 범위: 실온 ~ 95℃ (정확도 ±0.1℃)
 - 가열 방식: 전기 가열식 (13 kW)
 - 건조 시스템: 열풍 건조 방식 (건조 팬 220 m³/h)
 - 내부 크기: 550 × 620 × 685 mm
 - 전원/설비: 온수·냉수·탈이온수 3라인 급수</t>
    <phoneticPr fontId="1" type="noConversion"/>
  </si>
  <si>
    <t>없음</t>
    <phoneticPr fontId="1" type="noConversion"/>
  </si>
  <si>
    <t>기타</t>
    <phoneticPr fontId="1" type="noConversion"/>
  </si>
  <si>
    <t>ea</t>
    <phoneticPr fontId="1" type="noConversion"/>
  </si>
  <si>
    <t>04-장비-74, 기체크로마토그래프와 함께 증류수장치 도입 별도 관리번호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</si>
</sst>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Calibri"/>
      <family val="2"/>
      <scheme val="minor"/>
    </font>
    <font>
      <sz val="10"/>
      <name val="맑은 고딕"/>
      <family val="3"/>
      <charset val="129"/>
    </font>
    <font>
      <sz val="10"/>
      <color rgb="FFC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7" fillId="0" borderId="0" xfId="1"/>
    <xf numFmtId="0" fontId="5" fillId="0" borderId="2" xfId="1" applyFont="1" applyBorder="1" applyAlignment="1">
      <alignment horizontal="center" vertical="top"/>
    </xf>
    <xf numFmtId="0" fontId="6" fillId="0" borderId="0" xfId="1" applyFont="1" applyAlignment="1">
      <alignment vertical="top"/>
    </xf>
    <xf numFmtId="0" fontId="6" fillId="0" borderId="0" xfId="1" applyNumberFormat="1" applyFont="1" applyAlignment="1">
      <alignment vertical="top"/>
    </xf>
    <xf numFmtId="0" fontId="8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 applyAlignment="1"/>
    <xf numFmtId="0" fontId="8" fillId="0" borderId="0" xfId="0" applyFont="1" applyAlignment="1">
      <alignment vertical="top" shrinkToFit="1"/>
    </xf>
    <xf numFmtId="0" fontId="9" fillId="0" borderId="0" xfId="0" applyFont="1" applyAlignment="1">
      <alignment shrinkToFit="1"/>
    </xf>
    <xf numFmtId="0" fontId="3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top" shrinkToFit="1"/>
    </xf>
    <xf numFmtId="0" fontId="2" fillId="0" borderId="0" xfId="0" applyFont="1" applyAlignment="1">
      <alignment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3" fontId="2" fillId="0" borderId="1" xfId="0" applyNumberFormat="1" applyFont="1" applyBorder="1" applyAlignment="1">
      <alignment vertical="center" shrinkToFit="1"/>
    </xf>
    <xf numFmtId="3" fontId="2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2" fillId="0" borderId="1" xfId="0" applyFont="1" applyBorder="1" applyAlignment="1">
      <alignment shrinkToFit="1"/>
    </xf>
    <xf numFmtId="0" fontId="9" fillId="0" borderId="3" xfId="0" applyFont="1" applyFill="1" applyBorder="1" applyAlignment="1">
      <alignment horizontal="left" vertical="center" shrinkToFit="1"/>
    </xf>
    <xf numFmtId="0" fontId="9" fillId="0" borderId="1" xfId="0" applyFont="1" applyBorder="1" applyAlignment="1">
      <alignment vertic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3" fontId="9" fillId="0" borderId="1" xfId="0" applyNumberFormat="1" applyFont="1" applyBorder="1" applyAlignment="1">
      <alignment vertical="center" shrinkToFit="1"/>
    </xf>
    <xf numFmtId="3" fontId="9" fillId="0" borderId="1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vertical="top" shrinkToFit="1"/>
    </xf>
    <xf numFmtId="0" fontId="9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2">
    <cellStyle name="표준" xfId="0" builtinId="0"/>
    <cellStyle name="표준 2" xfId="1" xr:uid="{21F4562B-3E77-4764-A0F5-5B84F8394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9"/>
  <sheetViews>
    <sheetView tabSelected="1" workbookViewId="0">
      <pane xSplit="4" ySplit="1" topLeftCell="E20" activePane="bottomRight" state="frozen"/>
      <selection pane="topRight" activeCell="D1" sqref="D1"/>
      <selection pane="bottomLeft" activeCell="A2" sqref="A2"/>
      <selection pane="bottomRight" activeCell="J50" sqref="J50"/>
    </sheetView>
  </sheetViews>
  <sheetFormatPr defaultColWidth="14.42578125" defaultRowHeight="13.5"/>
  <cols>
    <col min="1" max="1" width="11.85546875" style="15" customWidth="1"/>
    <col min="2" max="2" width="11.85546875" style="14" customWidth="1"/>
    <col min="3" max="17" width="11.85546875" style="13" customWidth="1"/>
    <col min="18" max="18" width="11.85546875" style="15" customWidth="1"/>
    <col min="19" max="29" width="11.85546875" style="13" customWidth="1"/>
    <col min="30" max="16384" width="14.42578125" style="13"/>
  </cols>
  <sheetData>
    <row r="1" spans="1:29" s="12" customFormat="1">
      <c r="A1" s="39" t="s">
        <v>316</v>
      </c>
      <c r="B1" s="19" t="s">
        <v>0</v>
      </c>
      <c r="C1" s="20" t="s">
        <v>1</v>
      </c>
      <c r="D1" s="20" t="s">
        <v>2</v>
      </c>
      <c r="E1" s="20" t="s">
        <v>484</v>
      </c>
      <c r="F1" s="20" t="s">
        <v>319</v>
      </c>
      <c r="G1" s="20" t="s">
        <v>320</v>
      </c>
      <c r="H1" s="20" t="s">
        <v>281</v>
      </c>
      <c r="I1" s="20" t="s">
        <v>287</v>
      </c>
      <c r="J1" s="20" t="s">
        <v>321</v>
      </c>
      <c r="K1" s="20" t="s">
        <v>282</v>
      </c>
      <c r="L1" s="20" t="s">
        <v>283</v>
      </c>
      <c r="M1" s="20" t="s">
        <v>306</v>
      </c>
      <c r="N1" s="20" t="s">
        <v>4</v>
      </c>
      <c r="O1" s="20" t="s">
        <v>5</v>
      </c>
      <c r="P1" s="20" t="s">
        <v>284</v>
      </c>
      <c r="Q1" s="20" t="s">
        <v>6</v>
      </c>
      <c r="R1" s="20" t="s">
        <v>317</v>
      </c>
      <c r="S1" s="20" t="s">
        <v>9</v>
      </c>
      <c r="T1" s="20" t="s">
        <v>322</v>
      </c>
      <c r="U1" s="20" t="s">
        <v>11</v>
      </c>
      <c r="V1" s="21" t="s">
        <v>323</v>
      </c>
      <c r="W1" s="21" t="s">
        <v>324</v>
      </c>
      <c r="X1" s="21" t="s">
        <v>369</v>
      </c>
      <c r="Y1" s="21" t="s">
        <v>370</v>
      </c>
      <c r="Z1" s="21" t="s">
        <v>371</v>
      </c>
      <c r="AA1" s="21" t="s">
        <v>463</v>
      </c>
      <c r="AB1" s="21" t="s">
        <v>464</v>
      </c>
      <c r="AC1" s="21" t="s">
        <v>471</v>
      </c>
    </row>
    <row r="2" spans="1:29">
      <c r="A2" s="40">
        <v>1</v>
      </c>
      <c r="B2" s="23" t="s">
        <v>12</v>
      </c>
      <c r="C2" s="24" t="s">
        <v>14</v>
      </c>
      <c r="D2" s="24" t="s">
        <v>259</v>
      </c>
      <c r="E2" s="24" t="s">
        <v>16</v>
      </c>
      <c r="F2" s="24" t="s">
        <v>260</v>
      </c>
      <c r="G2" s="24" t="s">
        <v>17</v>
      </c>
      <c r="H2" s="25">
        <v>34720</v>
      </c>
      <c r="I2" s="25"/>
      <c r="J2" s="25">
        <v>34720</v>
      </c>
      <c r="K2" s="25"/>
      <c r="L2" s="25"/>
      <c r="M2" s="25"/>
      <c r="N2" s="26">
        <v>1995</v>
      </c>
      <c r="O2" s="26">
        <v>1</v>
      </c>
      <c r="P2" s="27">
        <v>1086000</v>
      </c>
      <c r="Q2" s="27">
        <f t="shared" ref="Q2:Q48" si="0">ROUND(P2/1000,0)</f>
        <v>1086</v>
      </c>
      <c r="R2" s="28" t="s">
        <v>318</v>
      </c>
      <c r="S2" s="24" t="s">
        <v>27</v>
      </c>
      <c r="T2" s="24" t="s">
        <v>295</v>
      </c>
      <c r="U2" s="24" t="s">
        <v>30</v>
      </c>
      <c r="V2" s="17" t="s">
        <v>325</v>
      </c>
      <c r="W2" s="17"/>
      <c r="X2" s="17" t="s">
        <v>372</v>
      </c>
      <c r="Y2" s="17" t="s">
        <v>373</v>
      </c>
      <c r="Z2" s="17" t="s">
        <v>374</v>
      </c>
      <c r="AA2" s="17" t="s">
        <v>465</v>
      </c>
      <c r="AB2" s="17"/>
      <c r="AC2" s="17"/>
    </row>
    <row r="3" spans="1:29">
      <c r="A3" s="40">
        <v>2</v>
      </c>
      <c r="B3" s="23" t="s">
        <v>33</v>
      </c>
      <c r="C3" s="24" t="s">
        <v>34</v>
      </c>
      <c r="D3" s="24" t="s">
        <v>15</v>
      </c>
      <c r="E3" s="24" t="s">
        <v>16</v>
      </c>
      <c r="F3" s="24" t="s">
        <v>260</v>
      </c>
      <c r="G3" s="24" t="s">
        <v>17</v>
      </c>
      <c r="H3" s="25">
        <v>34720</v>
      </c>
      <c r="I3" s="25"/>
      <c r="J3" s="25">
        <v>34720</v>
      </c>
      <c r="K3" s="25"/>
      <c r="L3" s="25"/>
      <c r="M3" s="25"/>
      <c r="N3" s="26">
        <v>1995</v>
      </c>
      <c r="O3" s="26">
        <v>1</v>
      </c>
      <c r="P3" s="27">
        <v>1086000</v>
      </c>
      <c r="Q3" s="27">
        <f t="shared" si="0"/>
        <v>1086</v>
      </c>
      <c r="R3" s="28" t="s">
        <v>318</v>
      </c>
      <c r="S3" s="24" t="s">
        <v>27</v>
      </c>
      <c r="T3" s="24" t="s">
        <v>295</v>
      </c>
      <c r="U3" s="24" t="s">
        <v>30</v>
      </c>
      <c r="V3" s="17" t="s">
        <v>325</v>
      </c>
      <c r="W3" s="17"/>
      <c r="X3" s="17" t="s">
        <v>372</v>
      </c>
      <c r="Y3" s="17" t="s">
        <v>373</v>
      </c>
      <c r="Z3" s="17" t="s">
        <v>374</v>
      </c>
      <c r="AA3" s="17" t="s">
        <v>465</v>
      </c>
      <c r="AB3" s="17"/>
      <c r="AC3" s="17"/>
    </row>
    <row r="4" spans="1:29">
      <c r="A4" s="40">
        <v>3</v>
      </c>
      <c r="B4" s="23" t="s">
        <v>8</v>
      </c>
      <c r="C4" s="24" t="s">
        <v>37</v>
      </c>
      <c r="D4" s="24" t="s">
        <v>38</v>
      </c>
      <c r="E4" s="24" t="s">
        <v>10</v>
      </c>
      <c r="F4" s="24" t="s">
        <v>13</v>
      </c>
      <c r="G4" s="24" t="s">
        <v>39</v>
      </c>
      <c r="H4" s="25">
        <v>38169</v>
      </c>
      <c r="I4" s="25">
        <v>38169</v>
      </c>
      <c r="J4" s="25">
        <v>38169</v>
      </c>
      <c r="K4" s="25"/>
      <c r="L4" s="25"/>
      <c r="M4" s="25"/>
      <c r="N4" s="26">
        <v>2004</v>
      </c>
      <c r="O4" s="26">
        <v>1</v>
      </c>
      <c r="P4" s="27">
        <v>9278000</v>
      </c>
      <c r="Q4" s="27">
        <f t="shared" si="0"/>
        <v>9278</v>
      </c>
      <c r="R4" s="28" t="s">
        <v>318</v>
      </c>
      <c r="S4" s="24" t="s">
        <v>45</v>
      </c>
      <c r="T4" s="24"/>
      <c r="U4" s="24"/>
      <c r="V4" s="17" t="s">
        <v>326</v>
      </c>
      <c r="W4" s="17" t="s">
        <v>327</v>
      </c>
      <c r="X4" s="17" t="s">
        <v>329</v>
      </c>
      <c r="Y4" s="17" t="s">
        <v>375</v>
      </c>
      <c r="Z4" s="17" t="s">
        <v>376</v>
      </c>
      <c r="AA4" s="17" t="s">
        <v>465</v>
      </c>
      <c r="AB4" s="17"/>
      <c r="AC4" s="17"/>
    </row>
    <row r="5" spans="1:29">
      <c r="A5" s="40">
        <v>4</v>
      </c>
      <c r="B5" s="23" t="s">
        <v>19</v>
      </c>
      <c r="C5" s="24" t="s">
        <v>47</v>
      </c>
      <c r="D5" s="24" t="s">
        <v>48</v>
      </c>
      <c r="E5" s="24" t="s">
        <v>20</v>
      </c>
      <c r="F5" s="24" t="s">
        <v>21</v>
      </c>
      <c r="G5" s="24" t="s">
        <v>50</v>
      </c>
      <c r="H5" s="25">
        <v>38169</v>
      </c>
      <c r="I5" s="25">
        <v>38169</v>
      </c>
      <c r="J5" s="25">
        <v>38169</v>
      </c>
      <c r="K5" s="25"/>
      <c r="L5" s="25"/>
      <c r="M5" s="25"/>
      <c r="N5" s="26">
        <v>2004</v>
      </c>
      <c r="O5" s="26">
        <v>1</v>
      </c>
      <c r="P5" s="27">
        <v>6313000</v>
      </c>
      <c r="Q5" s="27">
        <f t="shared" si="0"/>
        <v>6313</v>
      </c>
      <c r="R5" s="28" t="s">
        <v>318</v>
      </c>
      <c r="S5" s="24" t="s">
        <v>53</v>
      </c>
      <c r="T5" s="24"/>
      <c r="U5" s="24"/>
      <c r="V5" s="17" t="s">
        <v>328</v>
      </c>
      <c r="W5" s="17" t="s">
        <v>327</v>
      </c>
      <c r="X5" s="17" t="s">
        <v>329</v>
      </c>
      <c r="Y5" s="17" t="s">
        <v>375</v>
      </c>
      <c r="Z5" s="17" t="s">
        <v>376</v>
      </c>
      <c r="AA5" s="17" t="s">
        <v>465</v>
      </c>
      <c r="AB5" s="17" t="s">
        <v>559</v>
      </c>
      <c r="AC5" s="17"/>
    </row>
    <row r="6" spans="1:29">
      <c r="A6" s="40">
        <v>5</v>
      </c>
      <c r="B6" s="23" t="s">
        <v>54</v>
      </c>
      <c r="C6" s="24" t="s">
        <v>56</v>
      </c>
      <c r="D6" s="24" t="s">
        <v>261</v>
      </c>
      <c r="E6" s="24" t="s">
        <v>58</v>
      </c>
      <c r="F6" s="24" t="s">
        <v>262</v>
      </c>
      <c r="G6" s="24" t="s">
        <v>59</v>
      </c>
      <c r="H6" s="25">
        <v>38560</v>
      </c>
      <c r="I6" s="25"/>
      <c r="J6" s="25">
        <v>38560</v>
      </c>
      <c r="K6" s="25"/>
      <c r="L6" s="25"/>
      <c r="M6" s="25"/>
      <c r="N6" s="26">
        <v>2005</v>
      </c>
      <c r="O6" s="26">
        <v>1</v>
      </c>
      <c r="P6" s="27">
        <v>1470000</v>
      </c>
      <c r="Q6" s="27">
        <f t="shared" si="0"/>
        <v>1470</v>
      </c>
      <c r="R6" s="28" t="s">
        <v>318</v>
      </c>
      <c r="S6" s="24" t="s">
        <v>64</v>
      </c>
      <c r="T6" s="24"/>
      <c r="U6" s="24"/>
      <c r="V6" s="17" t="s">
        <v>329</v>
      </c>
      <c r="W6" s="17"/>
      <c r="X6" s="17" t="s">
        <v>329</v>
      </c>
      <c r="Y6" s="17" t="s">
        <v>375</v>
      </c>
      <c r="Z6" s="17" t="s">
        <v>376</v>
      </c>
      <c r="AA6" s="17" t="s">
        <v>465</v>
      </c>
      <c r="AB6" s="17"/>
      <c r="AC6" s="17"/>
    </row>
    <row r="7" spans="1:29">
      <c r="A7" s="40">
        <v>6</v>
      </c>
      <c r="B7" s="23" t="s">
        <v>23</v>
      </c>
      <c r="C7" s="24" t="s">
        <v>595</v>
      </c>
      <c r="D7" s="24" t="s">
        <v>595</v>
      </c>
      <c r="E7" s="24" t="s">
        <v>24</v>
      </c>
      <c r="F7" s="24" t="s">
        <v>289</v>
      </c>
      <c r="G7" s="24" t="s">
        <v>67</v>
      </c>
      <c r="H7" s="25">
        <v>38560</v>
      </c>
      <c r="I7" s="25">
        <v>38560</v>
      </c>
      <c r="J7" s="25">
        <v>38560</v>
      </c>
      <c r="K7" s="25"/>
      <c r="L7" s="25"/>
      <c r="M7" s="25"/>
      <c r="N7" s="26">
        <v>2005</v>
      </c>
      <c r="O7" s="26">
        <v>1</v>
      </c>
      <c r="P7" s="27">
        <v>5821000</v>
      </c>
      <c r="Q7" s="27">
        <f t="shared" si="0"/>
        <v>5821</v>
      </c>
      <c r="R7" s="28" t="s">
        <v>318</v>
      </c>
      <c r="S7" s="24" t="s">
        <v>70</v>
      </c>
      <c r="T7" s="24" t="s">
        <v>308</v>
      </c>
      <c r="U7" s="24"/>
      <c r="V7" s="17" t="s">
        <v>330</v>
      </c>
      <c r="W7" s="17" t="s">
        <v>331</v>
      </c>
      <c r="X7" s="17" t="s">
        <v>329</v>
      </c>
      <c r="Y7" s="17" t="s">
        <v>375</v>
      </c>
      <c r="Z7" s="17" t="s">
        <v>376</v>
      </c>
      <c r="AA7" s="17" t="s">
        <v>465</v>
      </c>
      <c r="AB7" s="17"/>
      <c r="AC7" s="17"/>
    </row>
    <row r="8" spans="1:29">
      <c r="A8" s="40">
        <v>7</v>
      </c>
      <c r="B8" s="23" t="s">
        <v>28</v>
      </c>
      <c r="C8" s="24" t="s">
        <v>71</v>
      </c>
      <c r="D8" s="24" t="s">
        <v>72</v>
      </c>
      <c r="E8" s="24" t="s">
        <v>29</v>
      </c>
      <c r="F8" s="24" t="s">
        <v>32</v>
      </c>
      <c r="G8" s="24" t="s">
        <v>73</v>
      </c>
      <c r="H8" s="25">
        <v>39737</v>
      </c>
      <c r="I8" s="25">
        <v>39737</v>
      </c>
      <c r="J8" s="25">
        <v>39737</v>
      </c>
      <c r="K8" s="25"/>
      <c r="L8" s="25"/>
      <c r="M8" s="25"/>
      <c r="N8" s="26">
        <v>2008</v>
      </c>
      <c r="O8" s="26">
        <v>1</v>
      </c>
      <c r="P8" s="27">
        <v>6645000</v>
      </c>
      <c r="Q8" s="27">
        <f t="shared" si="0"/>
        <v>6645</v>
      </c>
      <c r="R8" s="28" t="s">
        <v>318</v>
      </c>
      <c r="S8" s="24" t="s">
        <v>77</v>
      </c>
      <c r="T8" s="24"/>
      <c r="U8" s="24" t="s">
        <v>30</v>
      </c>
      <c r="V8" s="17" t="s">
        <v>332</v>
      </c>
      <c r="W8" s="17" t="s">
        <v>333</v>
      </c>
      <c r="X8" s="17" t="s">
        <v>377</v>
      </c>
      <c r="Y8" s="17" t="s">
        <v>378</v>
      </c>
      <c r="Z8" s="17" t="s">
        <v>379</v>
      </c>
      <c r="AA8" s="17" t="s">
        <v>465</v>
      </c>
      <c r="AB8" s="17"/>
      <c r="AC8" s="17" t="s">
        <v>472</v>
      </c>
    </row>
    <row r="9" spans="1:29">
      <c r="A9" s="40">
        <v>8</v>
      </c>
      <c r="B9" s="23" t="s">
        <v>81</v>
      </c>
      <c r="C9" s="24" t="s">
        <v>82</v>
      </c>
      <c r="D9" s="24" t="s">
        <v>263</v>
      </c>
      <c r="E9" s="24" t="s">
        <v>83</v>
      </c>
      <c r="F9" s="24" t="s">
        <v>264</v>
      </c>
      <c r="G9" s="24" t="s">
        <v>84</v>
      </c>
      <c r="H9" s="25">
        <v>39737</v>
      </c>
      <c r="I9" s="25"/>
      <c r="J9" s="25">
        <v>39737</v>
      </c>
      <c r="K9" s="25"/>
      <c r="L9" s="25"/>
      <c r="M9" s="25"/>
      <c r="N9" s="26">
        <v>2008</v>
      </c>
      <c r="O9" s="26">
        <v>1</v>
      </c>
      <c r="P9" s="27">
        <v>3410000</v>
      </c>
      <c r="Q9" s="27">
        <f t="shared" si="0"/>
        <v>3410</v>
      </c>
      <c r="R9" s="28" t="s">
        <v>318</v>
      </c>
      <c r="S9" s="24" t="s">
        <v>88</v>
      </c>
      <c r="T9" s="24"/>
      <c r="U9" s="24"/>
      <c r="V9" s="17" t="s">
        <v>330</v>
      </c>
      <c r="W9" s="17" t="s">
        <v>331</v>
      </c>
      <c r="X9" s="17" t="s">
        <v>377</v>
      </c>
      <c r="Y9" s="17" t="s">
        <v>378</v>
      </c>
      <c r="Z9" s="17" t="s">
        <v>379</v>
      </c>
      <c r="AA9" s="17" t="s">
        <v>465</v>
      </c>
      <c r="AB9" s="17" t="s">
        <v>466</v>
      </c>
      <c r="AC9" s="17" t="s">
        <v>472</v>
      </c>
    </row>
    <row r="10" spans="1:29">
      <c r="A10" s="40">
        <v>9</v>
      </c>
      <c r="B10" s="23" t="s">
        <v>74</v>
      </c>
      <c r="C10" s="24" t="s">
        <v>595</v>
      </c>
      <c r="D10" s="24" t="s">
        <v>253</v>
      </c>
      <c r="E10" s="24" t="s">
        <v>90</v>
      </c>
      <c r="F10" s="24" t="s">
        <v>254</v>
      </c>
      <c r="G10" s="24" t="s">
        <v>100</v>
      </c>
      <c r="H10" s="25">
        <v>39737</v>
      </c>
      <c r="I10" s="25"/>
      <c r="J10" s="25">
        <v>39737</v>
      </c>
      <c r="K10" s="25"/>
      <c r="L10" s="25"/>
      <c r="M10" s="25"/>
      <c r="N10" s="26">
        <v>2008</v>
      </c>
      <c r="O10" s="26">
        <v>1</v>
      </c>
      <c r="P10" s="27">
        <v>1178000</v>
      </c>
      <c r="Q10" s="27">
        <f t="shared" si="0"/>
        <v>1178</v>
      </c>
      <c r="R10" s="28" t="s">
        <v>318</v>
      </c>
      <c r="S10" s="24" t="s">
        <v>104</v>
      </c>
      <c r="T10" s="24"/>
      <c r="U10" s="24"/>
      <c r="V10" s="17" t="s">
        <v>332</v>
      </c>
      <c r="W10" s="17" t="s">
        <v>333</v>
      </c>
      <c r="X10" s="17" t="s">
        <v>377</v>
      </c>
      <c r="Y10" s="17" t="s">
        <v>378</v>
      </c>
      <c r="Z10" s="17" t="s">
        <v>379</v>
      </c>
      <c r="AA10" s="17" t="s">
        <v>465</v>
      </c>
      <c r="AB10" s="17" t="s">
        <v>467</v>
      </c>
      <c r="AC10" s="17" t="s">
        <v>472</v>
      </c>
    </row>
    <row r="11" spans="1:29">
      <c r="A11" s="40">
        <v>10</v>
      </c>
      <c r="B11" s="23" t="s">
        <v>35</v>
      </c>
      <c r="C11" s="24" t="s">
        <v>106</v>
      </c>
      <c r="D11" s="24" t="s">
        <v>107</v>
      </c>
      <c r="E11" s="24" t="s">
        <v>36</v>
      </c>
      <c r="F11" s="24" t="s">
        <v>36</v>
      </c>
      <c r="G11" s="24" t="s">
        <v>109</v>
      </c>
      <c r="H11" s="25">
        <v>39737</v>
      </c>
      <c r="I11" s="25">
        <v>39737</v>
      </c>
      <c r="J11" s="25">
        <v>39737</v>
      </c>
      <c r="K11" s="25"/>
      <c r="L11" s="22"/>
      <c r="M11" s="25">
        <v>43822</v>
      </c>
      <c r="N11" s="26">
        <v>2008</v>
      </c>
      <c r="O11" s="26">
        <v>1</v>
      </c>
      <c r="P11" s="27">
        <v>5050000</v>
      </c>
      <c r="Q11" s="27">
        <f t="shared" si="0"/>
        <v>5050</v>
      </c>
      <c r="R11" s="28" t="s">
        <v>318</v>
      </c>
      <c r="S11" s="24" t="s">
        <v>110</v>
      </c>
      <c r="T11" s="24" t="s">
        <v>297</v>
      </c>
      <c r="U11" s="24"/>
      <c r="V11" s="17" t="s">
        <v>334</v>
      </c>
      <c r="W11" s="17" t="s">
        <v>335</v>
      </c>
      <c r="X11" s="17" t="s">
        <v>377</v>
      </c>
      <c r="Y11" s="17" t="s">
        <v>378</v>
      </c>
      <c r="Z11" s="17" t="s">
        <v>379</v>
      </c>
      <c r="AA11" s="17" t="s">
        <v>465</v>
      </c>
      <c r="AB11" s="17" t="s">
        <v>560</v>
      </c>
      <c r="AC11" s="17" t="s">
        <v>472</v>
      </c>
    </row>
    <row r="12" spans="1:29">
      <c r="A12" s="40">
        <v>11</v>
      </c>
      <c r="B12" s="23" t="s">
        <v>7</v>
      </c>
      <c r="C12" s="24" t="s">
        <v>112</v>
      </c>
      <c r="D12" s="24" t="s">
        <v>113</v>
      </c>
      <c r="E12" s="24" t="s">
        <v>10</v>
      </c>
      <c r="F12" s="24" t="s">
        <v>13</v>
      </c>
      <c r="G12" s="24" t="s">
        <v>114</v>
      </c>
      <c r="H12" s="25">
        <v>39899</v>
      </c>
      <c r="I12" s="25">
        <v>39903</v>
      </c>
      <c r="J12" s="25">
        <v>39903</v>
      </c>
      <c r="K12" s="25"/>
      <c r="L12" s="25">
        <v>44562</v>
      </c>
      <c r="M12" s="25"/>
      <c r="N12" s="26">
        <v>2009</v>
      </c>
      <c r="O12" s="26">
        <v>1</v>
      </c>
      <c r="P12" s="27">
        <v>10750300</v>
      </c>
      <c r="Q12" s="27">
        <f t="shared" si="0"/>
        <v>10750</v>
      </c>
      <c r="R12" s="28" t="s">
        <v>318</v>
      </c>
      <c r="S12" s="24" t="s">
        <v>116</v>
      </c>
      <c r="T12" s="24" t="s">
        <v>301</v>
      </c>
      <c r="U12" s="24"/>
      <c r="V12" s="17" t="s">
        <v>336</v>
      </c>
      <c r="W12" s="17"/>
      <c r="X12" s="17" t="s">
        <v>380</v>
      </c>
      <c r="Y12" s="17" t="s">
        <v>381</v>
      </c>
      <c r="Z12" s="17" t="s">
        <v>382</v>
      </c>
      <c r="AA12" s="17" t="s">
        <v>465</v>
      </c>
      <c r="AB12" s="17" t="s">
        <v>561</v>
      </c>
      <c r="AC12" s="17" t="s">
        <v>473</v>
      </c>
    </row>
    <row r="13" spans="1:29">
      <c r="A13" s="40">
        <v>12</v>
      </c>
      <c r="B13" s="23" t="s">
        <v>117</v>
      </c>
      <c r="C13" s="24" t="s">
        <v>118</v>
      </c>
      <c r="D13" s="24" t="s">
        <v>252</v>
      </c>
      <c r="E13" s="24" t="s">
        <v>119</v>
      </c>
      <c r="F13" s="24" t="s">
        <v>256</v>
      </c>
      <c r="G13" s="24" t="s">
        <v>120</v>
      </c>
      <c r="H13" s="25">
        <v>39899</v>
      </c>
      <c r="I13" s="25"/>
      <c r="J13" s="25">
        <v>39899</v>
      </c>
      <c r="K13" s="25"/>
      <c r="L13" s="25">
        <v>44562</v>
      </c>
      <c r="M13" s="25"/>
      <c r="N13" s="26">
        <v>2009</v>
      </c>
      <c r="O13" s="26">
        <v>1</v>
      </c>
      <c r="P13" s="27">
        <v>2500000</v>
      </c>
      <c r="Q13" s="27">
        <f t="shared" si="0"/>
        <v>2500</v>
      </c>
      <c r="R13" s="28" t="s">
        <v>318</v>
      </c>
      <c r="S13" s="24" t="s">
        <v>121</v>
      </c>
      <c r="T13" s="24" t="s">
        <v>301</v>
      </c>
      <c r="U13" s="24"/>
      <c r="V13" s="17" t="s">
        <v>337</v>
      </c>
      <c r="W13" s="17" t="s">
        <v>335</v>
      </c>
      <c r="X13" s="17" t="s">
        <v>337</v>
      </c>
      <c r="Y13" s="17" t="s">
        <v>383</v>
      </c>
      <c r="Z13" s="17" t="s">
        <v>384</v>
      </c>
      <c r="AA13" s="17" t="s">
        <v>465</v>
      </c>
      <c r="AB13" s="17" t="s">
        <v>468</v>
      </c>
      <c r="AC13" s="17"/>
    </row>
    <row r="14" spans="1:29">
      <c r="A14" s="40">
        <v>13</v>
      </c>
      <c r="B14" s="23" t="s">
        <v>40</v>
      </c>
      <c r="C14" s="24" t="s">
        <v>122</v>
      </c>
      <c r="D14" s="24" t="s">
        <v>123</v>
      </c>
      <c r="E14" s="24" t="s">
        <v>309</v>
      </c>
      <c r="F14" s="24" t="s">
        <v>43</v>
      </c>
      <c r="G14" s="24" t="s">
        <v>124</v>
      </c>
      <c r="H14" s="25">
        <v>41813</v>
      </c>
      <c r="I14" s="25">
        <v>41813</v>
      </c>
      <c r="J14" s="25">
        <v>41813</v>
      </c>
      <c r="K14" s="25"/>
      <c r="L14" s="25"/>
      <c r="M14" s="25"/>
      <c r="N14" s="26">
        <v>2014</v>
      </c>
      <c r="O14" s="26">
        <v>1</v>
      </c>
      <c r="P14" s="27">
        <v>152682060</v>
      </c>
      <c r="Q14" s="27">
        <f t="shared" si="0"/>
        <v>152682</v>
      </c>
      <c r="R14" s="28" t="s">
        <v>318</v>
      </c>
      <c r="S14" s="24" t="s">
        <v>125</v>
      </c>
      <c r="T14" s="24" t="s">
        <v>307</v>
      </c>
      <c r="U14" s="24" t="s">
        <v>126</v>
      </c>
      <c r="V14" s="17" t="s">
        <v>338</v>
      </c>
      <c r="W14" s="17" t="s">
        <v>327</v>
      </c>
      <c r="X14" s="17" t="s">
        <v>385</v>
      </c>
      <c r="Y14" s="17" t="s">
        <v>386</v>
      </c>
      <c r="Z14" s="17" t="s">
        <v>387</v>
      </c>
      <c r="AA14" s="17" t="s">
        <v>465</v>
      </c>
      <c r="AB14" s="17" t="s">
        <v>562</v>
      </c>
      <c r="AC14" s="17"/>
    </row>
    <row r="15" spans="1:29">
      <c r="A15" s="40">
        <v>14</v>
      </c>
      <c r="B15" s="23" t="s">
        <v>18</v>
      </c>
      <c r="C15" s="24" t="s">
        <v>127</v>
      </c>
      <c r="D15" s="24" t="s">
        <v>128</v>
      </c>
      <c r="E15" s="24" t="s">
        <v>44</v>
      </c>
      <c r="F15" s="24" t="s">
        <v>46</v>
      </c>
      <c r="G15" s="24" t="s">
        <v>129</v>
      </c>
      <c r="H15" s="25">
        <v>42558</v>
      </c>
      <c r="I15" s="25">
        <v>42544</v>
      </c>
      <c r="J15" s="25">
        <v>42544</v>
      </c>
      <c r="K15" s="25"/>
      <c r="L15" s="25"/>
      <c r="M15" s="25"/>
      <c r="N15" s="26">
        <v>2016</v>
      </c>
      <c r="O15" s="26">
        <v>1</v>
      </c>
      <c r="P15" s="27">
        <v>37010300</v>
      </c>
      <c r="Q15" s="27">
        <f t="shared" si="0"/>
        <v>37010</v>
      </c>
      <c r="R15" s="28" t="s">
        <v>318</v>
      </c>
      <c r="S15" s="24" t="s">
        <v>130</v>
      </c>
      <c r="T15" s="24"/>
      <c r="U15" s="24"/>
      <c r="V15" s="17" t="s">
        <v>339</v>
      </c>
      <c r="W15" s="17"/>
      <c r="X15" s="17" t="s">
        <v>388</v>
      </c>
      <c r="Y15" s="17" t="s">
        <v>389</v>
      </c>
      <c r="Z15" s="17" t="s">
        <v>390</v>
      </c>
      <c r="AA15" s="17" t="s">
        <v>465</v>
      </c>
      <c r="AB15" s="17" t="s">
        <v>563</v>
      </c>
      <c r="AC15" s="17" t="s">
        <v>474</v>
      </c>
    </row>
    <row r="16" spans="1:29">
      <c r="A16" s="40">
        <v>15</v>
      </c>
      <c r="B16" s="23" t="s">
        <v>22</v>
      </c>
      <c r="C16" s="24" t="s">
        <v>131</v>
      </c>
      <c r="D16" s="24" t="s">
        <v>132</v>
      </c>
      <c r="E16" s="24" t="s">
        <v>49</v>
      </c>
      <c r="F16" s="24" t="s">
        <v>49</v>
      </c>
      <c r="G16" s="24" t="s">
        <v>133</v>
      </c>
      <c r="H16" s="25">
        <v>42647</v>
      </c>
      <c r="I16" s="25">
        <v>42598</v>
      </c>
      <c r="J16" s="25">
        <v>42598</v>
      </c>
      <c r="K16" s="25"/>
      <c r="L16" s="25"/>
      <c r="M16" s="25"/>
      <c r="N16" s="26">
        <v>2016</v>
      </c>
      <c r="O16" s="26">
        <v>1</v>
      </c>
      <c r="P16" s="27">
        <v>59438210</v>
      </c>
      <c r="Q16" s="27">
        <f t="shared" si="0"/>
        <v>59438</v>
      </c>
      <c r="R16" s="28" t="s">
        <v>318</v>
      </c>
      <c r="S16" s="24" t="s">
        <v>134</v>
      </c>
      <c r="T16" s="24"/>
      <c r="U16" s="24"/>
      <c r="V16" s="17" t="s">
        <v>333</v>
      </c>
      <c r="W16" s="17" t="s">
        <v>340</v>
      </c>
      <c r="X16" s="17" t="s">
        <v>391</v>
      </c>
      <c r="Y16" s="17" t="s">
        <v>392</v>
      </c>
      <c r="Z16" s="17" t="s">
        <v>393</v>
      </c>
      <c r="AA16" s="17" t="s">
        <v>465</v>
      </c>
      <c r="AB16" s="17" t="s">
        <v>469</v>
      </c>
      <c r="AC16" s="17" t="s">
        <v>475</v>
      </c>
    </row>
    <row r="17" spans="1:29">
      <c r="A17" s="40">
        <v>16</v>
      </c>
      <c r="B17" s="23" t="s">
        <v>135</v>
      </c>
      <c r="C17" s="24" t="s">
        <v>136</v>
      </c>
      <c r="D17" s="24" t="s">
        <v>265</v>
      </c>
      <c r="E17" s="24" t="s">
        <v>137</v>
      </c>
      <c r="F17" s="24" t="s">
        <v>266</v>
      </c>
      <c r="G17" s="24" t="s">
        <v>138</v>
      </c>
      <c r="H17" s="25">
        <v>42760</v>
      </c>
      <c r="I17" s="25"/>
      <c r="J17" s="25">
        <v>42760</v>
      </c>
      <c r="K17" s="25"/>
      <c r="L17" s="25"/>
      <c r="M17" s="25"/>
      <c r="N17" s="26">
        <v>2017</v>
      </c>
      <c r="O17" s="26">
        <v>1</v>
      </c>
      <c r="P17" s="27">
        <v>1925000</v>
      </c>
      <c r="Q17" s="27">
        <f t="shared" si="0"/>
        <v>1925</v>
      </c>
      <c r="R17" s="28" t="s">
        <v>318</v>
      </c>
      <c r="S17" s="24" t="s">
        <v>139</v>
      </c>
      <c r="T17" s="24"/>
      <c r="U17" s="24"/>
      <c r="V17" s="17" t="s">
        <v>341</v>
      </c>
      <c r="W17" s="17"/>
      <c r="X17" s="17" t="s">
        <v>394</v>
      </c>
      <c r="Y17" s="17" t="s">
        <v>395</v>
      </c>
      <c r="Z17" s="17" t="s">
        <v>396</v>
      </c>
      <c r="AA17" s="17" t="s">
        <v>465</v>
      </c>
      <c r="AB17" s="17" t="s">
        <v>564</v>
      </c>
      <c r="AC17" s="17" t="s">
        <v>476</v>
      </c>
    </row>
    <row r="18" spans="1:29">
      <c r="A18" s="40">
        <v>17</v>
      </c>
      <c r="B18" s="23" t="s">
        <v>140</v>
      </c>
      <c r="C18" s="24" t="s">
        <v>141</v>
      </c>
      <c r="D18" s="24" t="s">
        <v>267</v>
      </c>
      <c r="E18" s="24" t="s">
        <v>143</v>
      </c>
      <c r="F18" s="24" t="s">
        <v>268</v>
      </c>
      <c r="G18" s="24" t="s">
        <v>144</v>
      </c>
      <c r="H18" s="25">
        <v>42781</v>
      </c>
      <c r="I18" s="25"/>
      <c r="J18" s="25">
        <v>42781</v>
      </c>
      <c r="K18" s="25"/>
      <c r="L18" s="25"/>
      <c r="M18" s="25"/>
      <c r="N18" s="26">
        <v>2017</v>
      </c>
      <c r="O18" s="26">
        <v>1</v>
      </c>
      <c r="P18" s="27">
        <v>1430000</v>
      </c>
      <c r="Q18" s="27">
        <f t="shared" si="0"/>
        <v>1430</v>
      </c>
      <c r="R18" s="28" t="s">
        <v>318</v>
      </c>
      <c r="S18" s="24" t="s">
        <v>145</v>
      </c>
      <c r="T18" s="24"/>
      <c r="U18" s="24"/>
      <c r="V18" s="17" t="s">
        <v>342</v>
      </c>
      <c r="W18" s="17" t="s">
        <v>335</v>
      </c>
      <c r="X18" s="17" t="s">
        <v>397</v>
      </c>
      <c r="Y18" s="17" t="s">
        <v>398</v>
      </c>
      <c r="Z18" s="17" t="s">
        <v>399</v>
      </c>
      <c r="AA18" s="17" t="s">
        <v>465</v>
      </c>
      <c r="AB18" s="17" t="s">
        <v>565</v>
      </c>
      <c r="AC18" s="17" t="s">
        <v>477</v>
      </c>
    </row>
    <row r="19" spans="1:29">
      <c r="A19" s="40">
        <v>18</v>
      </c>
      <c r="B19" s="23" t="s">
        <v>140</v>
      </c>
      <c r="C19" s="24" t="s">
        <v>146</v>
      </c>
      <c r="D19" s="24" t="s">
        <v>142</v>
      </c>
      <c r="E19" s="24" t="s">
        <v>143</v>
      </c>
      <c r="F19" s="24" t="s">
        <v>268</v>
      </c>
      <c r="G19" s="24" t="s">
        <v>144</v>
      </c>
      <c r="H19" s="25">
        <v>42781</v>
      </c>
      <c r="I19" s="25"/>
      <c r="J19" s="25">
        <v>42781</v>
      </c>
      <c r="K19" s="25"/>
      <c r="L19" s="25"/>
      <c r="M19" s="25"/>
      <c r="N19" s="26">
        <v>2017</v>
      </c>
      <c r="O19" s="26">
        <v>1</v>
      </c>
      <c r="P19" s="27">
        <v>1430000</v>
      </c>
      <c r="Q19" s="27">
        <f t="shared" si="0"/>
        <v>1430</v>
      </c>
      <c r="R19" s="28" t="s">
        <v>318</v>
      </c>
      <c r="S19" s="24" t="s">
        <v>145</v>
      </c>
      <c r="T19" s="24"/>
      <c r="U19" s="24"/>
      <c r="V19" s="17" t="s">
        <v>342</v>
      </c>
      <c r="W19" s="17" t="s">
        <v>335</v>
      </c>
      <c r="X19" s="17" t="s">
        <v>397</v>
      </c>
      <c r="Y19" s="17" t="s">
        <v>398</v>
      </c>
      <c r="Z19" s="17" t="s">
        <v>399</v>
      </c>
      <c r="AA19" s="17" t="s">
        <v>465</v>
      </c>
      <c r="AB19" s="17" t="s">
        <v>565</v>
      </c>
      <c r="AC19" s="17" t="s">
        <v>477</v>
      </c>
    </row>
    <row r="20" spans="1:29">
      <c r="A20" s="40">
        <v>19</v>
      </c>
      <c r="B20" s="23" t="s">
        <v>26</v>
      </c>
      <c r="C20" s="24" t="s">
        <v>147</v>
      </c>
      <c r="D20" s="24" t="s">
        <v>148</v>
      </c>
      <c r="E20" s="24" t="s">
        <v>51</v>
      </c>
      <c r="F20" s="24" t="s">
        <v>52</v>
      </c>
      <c r="G20" s="24" t="s">
        <v>149</v>
      </c>
      <c r="H20" s="25">
        <v>42837</v>
      </c>
      <c r="I20" s="25">
        <v>42838</v>
      </c>
      <c r="J20" s="25">
        <v>42838</v>
      </c>
      <c r="K20" s="25"/>
      <c r="L20" s="25"/>
      <c r="M20" s="25"/>
      <c r="N20" s="26">
        <v>2017</v>
      </c>
      <c r="O20" s="26">
        <v>1</v>
      </c>
      <c r="P20" s="27">
        <v>12166000</v>
      </c>
      <c r="Q20" s="27">
        <f t="shared" si="0"/>
        <v>12166</v>
      </c>
      <c r="R20" s="28" t="s">
        <v>318</v>
      </c>
      <c r="S20" s="24" t="s">
        <v>150</v>
      </c>
      <c r="T20" s="24" t="s">
        <v>302</v>
      </c>
      <c r="U20" s="24"/>
      <c r="V20" s="17" t="s">
        <v>343</v>
      </c>
      <c r="W20" s="17" t="s">
        <v>344</v>
      </c>
      <c r="X20" s="17" t="s">
        <v>400</v>
      </c>
      <c r="Y20" s="17" t="s">
        <v>401</v>
      </c>
      <c r="Z20" s="17" t="s">
        <v>402</v>
      </c>
      <c r="AA20" s="17" t="s">
        <v>465</v>
      </c>
      <c r="AB20" s="17" t="s">
        <v>566</v>
      </c>
      <c r="AC20" s="17" t="s">
        <v>478</v>
      </c>
    </row>
    <row r="21" spans="1:29">
      <c r="A21" s="40">
        <v>20</v>
      </c>
      <c r="B21" s="23" t="s">
        <v>55</v>
      </c>
      <c r="C21" s="24" t="s">
        <v>151</v>
      </c>
      <c r="D21" s="24" t="s">
        <v>152</v>
      </c>
      <c r="E21" s="24" t="s">
        <v>313</v>
      </c>
      <c r="F21" s="24" t="s">
        <v>60</v>
      </c>
      <c r="G21" s="24" t="s">
        <v>153</v>
      </c>
      <c r="H21" s="25">
        <v>43129</v>
      </c>
      <c r="I21" s="25">
        <v>43129</v>
      </c>
      <c r="J21" s="25">
        <v>43129</v>
      </c>
      <c r="K21" s="25"/>
      <c r="L21" s="29"/>
      <c r="M21" s="25"/>
      <c r="N21" s="26">
        <v>2018</v>
      </c>
      <c r="O21" s="26">
        <v>1</v>
      </c>
      <c r="P21" s="27">
        <v>7739240</v>
      </c>
      <c r="Q21" s="27">
        <f t="shared" si="0"/>
        <v>7739</v>
      </c>
      <c r="R21" s="28" t="s">
        <v>318</v>
      </c>
      <c r="S21" s="24" t="s">
        <v>154</v>
      </c>
      <c r="T21" s="24"/>
      <c r="U21" s="24"/>
      <c r="V21" s="17" t="s">
        <v>345</v>
      </c>
      <c r="W21" s="17" t="s">
        <v>335</v>
      </c>
      <c r="X21" s="17" t="s">
        <v>345</v>
      </c>
      <c r="Y21" s="17" t="s">
        <v>403</v>
      </c>
      <c r="Z21" s="17" t="s">
        <v>404</v>
      </c>
      <c r="AA21" s="17" t="s">
        <v>465</v>
      </c>
      <c r="AB21" s="17" t="s">
        <v>589</v>
      </c>
      <c r="AC21" s="17" t="s">
        <v>479</v>
      </c>
    </row>
    <row r="22" spans="1:29">
      <c r="A22" s="40">
        <v>21</v>
      </c>
      <c r="B22" s="23" t="s">
        <v>61</v>
      </c>
      <c r="C22" s="24" t="s">
        <v>155</v>
      </c>
      <c r="D22" s="24" t="s">
        <v>156</v>
      </c>
      <c r="E22" s="24" t="s">
        <v>62</v>
      </c>
      <c r="F22" s="24" t="s">
        <v>63</v>
      </c>
      <c r="G22" s="24" t="s">
        <v>157</v>
      </c>
      <c r="H22" s="25">
        <v>43164</v>
      </c>
      <c r="I22" s="25">
        <v>43164</v>
      </c>
      <c r="J22" s="25">
        <v>43164</v>
      </c>
      <c r="K22" s="25"/>
      <c r="L22" s="25"/>
      <c r="M22" s="25"/>
      <c r="N22" s="26">
        <v>2018</v>
      </c>
      <c r="O22" s="26">
        <v>1</v>
      </c>
      <c r="P22" s="27">
        <v>5573930</v>
      </c>
      <c r="Q22" s="27">
        <f t="shared" si="0"/>
        <v>5574</v>
      </c>
      <c r="R22" s="28" t="s">
        <v>318</v>
      </c>
      <c r="S22" s="24" t="s">
        <v>158</v>
      </c>
      <c r="T22" s="24"/>
      <c r="U22" s="24"/>
      <c r="V22" s="17" t="s">
        <v>346</v>
      </c>
      <c r="W22" s="17"/>
      <c r="X22" s="17" t="s">
        <v>405</v>
      </c>
      <c r="Y22" s="17" t="s">
        <v>406</v>
      </c>
      <c r="Z22" s="17" t="s">
        <v>407</v>
      </c>
      <c r="AA22" s="17" t="s">
        <v>465</v>
      </c>
      <c r="AB22" s="17" t="s">
        <v>567</v>
      </c>
      <c r="AC22" s="17" t="s">
        <v>480</v>
      </c>
    </row>
    <row r="23" spans="1:29">
      <c r="A23" s="40">
        <v>22</v>
      </c>
      <c r="B23" s="23" t="s">
        <v>159</v>
      </c>
      <c r="C23" s="24" t="s">
        <v>160</v>
      </c>
      <c r="D23" s="24" t="s">
        <v>269</v>
      </c>
      <c r="E23" s="24" t="s">
        <v>280</v>
      </c>
      <c r="F23" s="24" t="s">
        <v>254</v>
      </c>
      <c r="G23" s="24" t="s">
        <v>161</v>
      </c>
      <c r="H23" s="25">
        <v>43522</v>
      </c>
      <c r="I23" s="25"/>
      <c r="J23" s="25">
        <v>43522</v>
      </c>
      <c r="K23" s="25"/>
      <c r="L23" s="25"/>
      <c r="M23" s="25"/>
      <c r="N23" s="26">
        <v>2019</v>
      </c>
      <c r="O23" s="26">
        <v>1</v>
      </c>
      <c r="P23" s="27">
        <v>1870000</v>
      </c>
      <c r="Q23" s="27">
        <f t="shared" si="0"/>
        <v>1870</v>
      </c>
      <c r="R23" s="28" t="s">
        <v>318</v>
      </c>
      <c r="S23" s="24" t="s">
        <v>162</v>
      </c>
      <c r="T23" s="24" t="s">
        <v>299</v>
      </c>
      <c r="U23" s="24"/>
      <c r="V23" s="17" t="s">
        <v>335</v>
      </c>
      <c r="W23" s="17"/>
      <c r="X23" s="17" t="s">
        <v>342</v>
      </c>
      <c r="Y23" s="17" t="s">
        <v>408</v>
      </c>
      <c r="Z23" s="17" t="s">
        <v>409</v>
      </c>
      <c r="AA23" s="17" t="s">
        <v>465</v>
      </c>
      <c r="AB23" s="17" t="s">
        <v>590</v>
      </c>
      <c r="AC23" s="17"/>
    </row>
    <row r="24" spans="1:29">
      <c r="A24" s="40">
        <v>23</v>
      </c>
      <c r="B24" s="23" t="s">
        <v>65</v>
      </c>
      <c r="C24" s="24" t="s">
        <v>163</v>
      </c>
      <c r="D24" s="24" t="s">
        <v>164</v>
      </c>
      <c r="E24" s="24" t="s">
        <v>21</v>
      </c>
      <c r="F24" s="24" t="s">
        <v>21</v>
      </c>
      <c r="G24" s="24" t="s">
        <v>165</v>
      </c>
      <c r="H24" s="25">
        <v>43656</v>
      </c>
      <c r="I24" s="25">
        <v>43656</v>
      </c>
      <c r="J24" s="25">
        <v>43656</v>
      </c>
      <c r="K24" s="25"/>
      <c r="L24" s="25"/>
      <c r="M24" s="25"/>
      <c r="N24" s="26">
        <v>2019</v>
      </c>
      <c r="O24" s="26">
        <v>1</v>
      </c>
      <c r="P24" s="27">
        <v>79971570</v>
      </c>
      <c r="Q24" s="27">
        <f t="shared" si="0"/>
        <v>79972</v>
      </c>
      <c r="R24" s="28" t="s">
        <v>318</v>
      </c>
      <c r="S24" s="24" t="s">
        <v>166</v>
      </c>
      <c r="T24" s="24" t="s">
        <v>298</v>
      </c>
      <c r="U24" s="24"/>
      <c r="V24" s="17" t="s">
        <v>347</v>
      </c>
      <c r="W24" s="17" t="s">
        <v>348</v>
      </c>
      <c r="X24" s="17" t="s">
        <v>410</v>
      </c>
      <c r="Y24" s="17" t="s">
        <v>411</v>
      </c>
      <c r="Z24" s="17" t="s">
        <v>412</v>
      </c>
      <c r="AA24" s="17" t="s">
        <v>465</v>
      </c>
      <c r="AB24" s="17" t="s">
        <v>568</v>
      </c>
      <c r="AC24" s="17"/>
    </row>
    <row r="25" spans="1:29">
      <c r="A25" s="40">
        <v>24</v>
      </c>
      <c r="B25" s="23" t="s">
        <v>167</v>
      </c>
      <c r="C25" s="24" t="s">
        <v>168</v>
      </c>
      <c r="D25" s="24" t="s">
        <v>270</v>
      </c>
      <c r="E25" s="24" t="s">
        <v>169</v>
      </c>
      <c r="F25" s="24" t="s">
        <v>271</v>
      </c>
      <c r="G25" s="24" t="s">
        <v>170</v>
      </c>
      <c r="H25" s="25">
        <v>43067</v>
      </c>
      <c r="I25" s="25"/>
      <c r="J25" s="25">
        <v>43067</v>
      </c>
      <c r="K25" s="25"/>
      <c r="L25" s="22"/>
      <c r="M25" s="25">
        <v>44562</v>
      </c>
      <c r="N25" s="26">
        <v>2017</v>
      </c>
      <c r="O25" s="26">
        <v>1</v>
      </c>
      <c r="P25" s="27">
        <v>2990900</v>
      </c>
      <c r="Q25" s="27">
        <f t="shared" si="0"/>
        <v>2991</v>
      </c>
      <c r="R25" s="28" t="s">
        <v>318</v>
      </c>
      <c r="S25" s="24" t="s">
        <v>171</v>
      </c>
      <c r="T25" s="24" t="s">
        <v>303</v>
      </c>
      <c r="U25" s="24" t="s">
        <v>172</v>
      </c>
      <c r="V25" s="17" t="s">
        <v>349</v>
      </c>
      <c r="W25" s="17" t="s">
        <v>341</v>
      </c>
      <c r="X25" s="17" t="s">
        <v>349</v>
      </c>
      <c r="Y25" s="17" t="s">
        <v>413</v>
      </c>
      <c r="Z25" s="17" t="s">
        <v>414</v>
      </c>
      <c r="AA25" s="17" t="s">
        <v>465</v>
      </c>
      <c r="AB25" s="17" t="s">
        <v>569</v>
      </c>
      <c r="AC25" s="17"/>
    </row>
    <row r="26" spans="1:29">
      <c r="A26" s="40">
        <v>25</v>
      </c>
      <c r="B26" s="23" t="s">
        <v>68</v>
      </c>
      <c r="C26" s="24" t="s">
        <v>173</v>
      </c>
      <c r="D26" s="24" t="s">
        <v>174</v>
      </c>
      <c r="E26" s="24" t="s">
        <v>69</v>
      </c>
      <c r="F26" s="24" t="s">
        <v>69</v>
      </c>
      <c r="G26" s="24" t="s">
        <v>175</v>
      </c>
      <c r="H26" s="25">
        <v>43964</v>
      </c>
      <c r="I26" s="25">
        <v>43964</v>
      </c>
      <c r="J26" s="25">
        <v>43964</v>
      </c>
      <c r="K26" s="25"/>
      <c r="L26" s="25"/>
      <c r="M26" s="25"/>
      <c r="N26" s="26">
        <v>2020</v>
      </c>
      <c r="O26" s="26">
        <v>1</v>
      </c>
      <c r="P26" s="27">
        <v>11990000</v>
      </c>
      <c r="Q26" s="27">
        <f t="shared" si="0"/>
        <v>11990</v>
      </c>
      <c r="R26" s="28" t="s">
        <v>318</v>
      </c>
      <c r="S26" s="24" t="s">
        <v>176</v>
      </c>
      <c r="T26" s="24" t="s">
        <v>294</v>
      </c>
      <c r="U26" s="24"/>
      <c r="V26" s="17" t="s">
        <v>350</v>
      </c>
      <c r="W26" s="17"/>
      <c r="X26" s="17" t="s">
        <v>350</v>
      </c>
      <c r="Y26" s="17" t="s">
        <v>415</v>
      </c>
      <c r="Z26" s="17" t="s">
        <v>416</v>
      </c>
      <c r="AA26" s="17" t="s">
        <v>465</v>
      </c>
      <c r="AB26" s="17" t="s">
        <v>570</v>
      </c>
      <c r="AC26" s="17" t="s">
        <v>481</v>
      </c>
    </row>
    <row r="27" spans="1:29">
      <c r="A27" s="40">
        <v>26</v>
      </c>
      <c r="B27" s="23" t="s">
        <v>75</v>
      </c>
      <c r="C27" s="24" t="s">
        <v>177</v>
      </c>
      <c r="D27" s="24" t="s">
        <v>178</v>
      </c>
      <c r="E27" s="24" t="s">
        <v>76</v>
      </c>
      <c r="F27" s="24" t="s">
        <v>76</v>
      </c>
      <c r="G27" s="24" t="s">
        <v>179</v>
      </c>
      <c r="H27" s="25">
        <v>43971</v>
      </c>
      <c r="I27" s="25">
        <v>43971</v>
      </c>
      <c r="J27" s="25">
        <v>43971</v>
      </c>
      <c r="K27" s="25"/>
      <c r="L27" s="25"/>
      <c r="M27" s="25"/>
      <c r="N27" s="26">
        <v>2020</v>
      </c>
      <c r="O27" s="26">
        <v>1</v>
      </c>
      <c r="P27" s="27">
        <v>25400000</v>
      </c>
      <c r="Q27" s="27">
        <f t="shared" si="0"/>
        <v>25400</v>
      </c>
      <c r="R27" s="28" t="s">
        <v>318</v>
      </c>
      <c r="S27" s="24" t="s">
        <v>180</v>
      </c>
      <c r="T27" s="24" t="s">
        <v>288</v>
      </c>
      <c r="U27" s="24"/>
      <c r="V27" s="17" t="s">
        <v>351</v>
      </c>
      <c r="W27" s="17" t="s">
        <v>352</v>
      </c>
      <c r="X27" s="17" t="s">
        <v>417</v>
      </c>
      <c r="Y27" s="17" t="s">
        <v>418</v>
      </c>
      <c r="Z27" s="17" t="s">
        <v>419</v>
      </c>
      <c r="AA27" s="17" t="s">
        <v>465</v>
      </c>
      <c r="AB27" s="17" t="s">
        <v>470</v>
      </c>
      <c r="AC27" s="17"/>
    </row>
    <row r="28" spans="1:29">
      <c r="A28" s="40">
        <v>27</v>
      </c>
      <c r="B28" s="23" t="s">
        <v>78</v>
      </c>
      <c r="C28" s="24" t="s">
        <v>181</v>
      </c>
      <c r="D28" s="24" t="s">
        <v>182</v>
      </c>
      <c r="E28" s="24" t="s">
        <v>79</v>
      </c>
      <c r="F28" s="24" t="s">
        <v>80</v>
      </c>
      <c r="G28" s="24" t="s">
        <v>183</v>
      </c>
      <c r="H28" s="25">
        <v>43991</v>
      </c>
      <c r="I28" s="25">
        <v>43991</v>
      </c>
      <c r="J28" s="25">
        <v>43991</v>
      </c>
      <c r="K28" s="25"/>
      <c r="L28" s="25"/>
      <c r="M28" s="25"/>
      <c r="N28" s="26">
        <v>2020</v>
      </c>
      <c r="O28" s="26">
        <v>1</v>
      </c>
      <c r="P28" s="27">
        <v>54097410</v>
      </c>
      <c r="Q28" s="27">
        <f t="shared" si="0"/>
        <v>54097</v>
      </c>
      <c r="R28" s="28" t="s">
        <v>318</v>
      </c>
      <c r="S28" s="24" t="s">
        <v>184</v>
      </c>
      <c r="T28" s="24" t="s">
        <v>292</v>
      </c>
      <c r="U28" s="24"/>
      <c r="V28" s="17" t="s">
        <v>353</v>
      </c>
      <c r="W28" s="17" t="s">
        <v>344</v>
      </c>
      <c r="X28" s="17" t="s">
        <v>420</v>
      </c>
      <c r="Y28" s="17" t="s">
        <v>421</v>
      </c>
      <c r="Z28" s="17"/>
      <c r="AA28" s="17" t="s">
        <v>465</v>
      </c>
      <c r="AB28" s="17" t="s">
        <v>591</v>
      </c>
      <c r="AC28" s="17" t="s">
        <v>482</v>
      </c>
    </row>
    <row r="29" spans="1:29">
      <c r="A29" s="40">
        <v>28</v>
      </c>
      <c r="B29" s="23" t="s">
        <v>85</v>
      </c>
      <c r="C29" s="24" t="s">
        <v>185</v>
      </c>
      <c r="D29" s="24" t="s">
        <v>186</v>
      </c>
      <c r="E29" s="24" t="s">
        <v>86</v>
      </c>
      <c r="F29" s="24" t="s">
        <v>43</v>
      </c>
      <c r="G29" s="24" t="s">
        <v>187</v>
      </c>
      <c r="H29" s="25">
        <v>43994</v>
      </c>
      <c r="I29" s="25">
        <v>43994</v>
      </c>
      <c r="J29" s="25">
        <v>43994</v>
      </c>
      <c r="K29" s="25"/>
      <c r="L29" s="25"/>
      <c r="M29" s="25"/>
      <c r="N29" s="26">
        <v>2020</v>
      </c>
      <c r="O29" s="26">
        <v>1</v>
      </c>
      <c r="P29" s="27">
        <v>140549890</v>
      </c>
      <c r="Q29" s="27">
        <f t="shared" si="0"/>
        <v>140550</v>
      </c>
      <c r="R29" s="28" t="s">
        <v>318</v>
      </c>
      <c r="S29" s="24" t="s">
        <v>188</v>
      </c>
      <c r="T29" s="24" t="s">
        <v>291</v>
      </c>
      <c r="U29" s="24" t="s">
        <v>189</v>
      </c>
      <c r="V29" s="17" t="s">
        <v>354</v>
      </c>
      <c r="W29" s="17"/>
      <c r="X29" s="17" t="s">
        <v>422</v>
      </c>
      <c r="Y29" s="17" t="s">
        <v>423</v>
      </c>
      <c r="Z29" s="17" t="s">
        <v>424</v>
      </c>
      <c r="AA29" s="17" t="s">
        <v>465</v>
      </c>
      <c r="AB29" s="17" t="s">
        <v>571</v>
      </c>
      <c r="AC29" s="17"/>
    </row>
    <row r="30" spans="1:29">
      <c r="A30" s="40">
        <v>29</v>
      </c>
      <c r="B30" s="23" t="s">
        <v>190</v>
      </c>
      <c r="C30" s="24" t="s">
        <v>191</v>
      </c>
      <c r="D30" s="24" t="s">
        <v>272</v>
      </c>
      <c r="E30" s="24" t="s">
        <v>193</v>
      </c>
      <c r="F30" s="24" t="s">
        <v>273</v>
      </c>
      <c r="G30" s="24" t="s">
        <v>194</v>
      </c>
      <c r="H30" s="25">
        <v>44280</v>
      </c>
      <c r="I30" s="25"/>
      <c r="J30" s="25">
        <v>44280</v>
      </c>
      <c r="K30" s="25"/>
      <c r="L30" s="25"/>
      <c r="M30" s="25"/>
      <c r="N30" s="26">
        <v>2021</v>
      </c>
      <c r="O30" s="26">
        <v>1</v>
      </c>
      <c r="P30" s="27">
        <v>4840000</v>
      </c>
      <c r="Q30" s="27">
        <f t="shared" si="0"/>
        <v>4840</v>
      </c>
      <c r="R30" s="28" t="s">
        <v>318</v>
      </c>
      <c r="S30" s="24" t="s">
        <v>77</v>
      </c>
      <c r="T30" s="24" t="s">
        <v>300</v>
      </c>
      <c r="U30" s="24" t="s">
        <v>30</v>
      </c>
      <c r="V30" s="17" t="s">
        <v>355</v>
      </c>
      <c r="W30" s="17" t="s">
        <v>356</v>
      </c>
      <c r="X30" s="17" t="s">
        <v>355</v>
      </c>
      <c r="Y30" s="17" t="s">
        <v>425</v>
      </c>
      <c r="Z30" s="17" t="s">
        <v>426</v>
      </c>
      <c r="AA30" s="17" t="s">
        <v>465</v>
      </c>
      <c r="AB30" s="17" t="s">
        <v>592</v>
      </c>
      <c r="AC30" s="17"/>
    </row>
    <row r="31" spans="1:29">
      <c r="A31" s="40">
        <v>30</v>
      </c>
      <c r="B31" s="23" t="s">
        <v>190</v>
      </c>
      <c r="C31" s="24" t="s">
        <v>195</v>
      </c>
      <c r="D31" s="24" t="s">
        <v>192</v>
      </c>
      <c r="E31" s="24" t="s">
        <v>193</v>
      </c>
      <c r="F31" s="24" t="s">
        <v>273</v>
      </c>
      <c r="G31" s="24" t="s">
        <v>194</v>
      </c>
      <c r="H31" s="25">
        <v>44280</v>
      </c>
      <c r="I31" s="25"/>
      <c r="J31" s="25">
        <v>44280</v>
      </c>
      <c r="K31" s="25"/>
      <c r="L31" s="25"/>
      <c r="M31" s="25"/>
      <c r="N31" s="26">
        <v>2021</v>
      </c>
      <c r="O31" s="26">
        <v>1</v>
      </c>
      <c r="P31" s="27">
        <v>4840000</v>
      </c>
      <c r="Q31" s="27">
        <f t="shared" si="0"/>
        <v>4840</v>
      </c>
      <c r="R31" s="28" t="s">
        <v>318</v>
      </c>
      <c r="S31" s="24" t="s">
        <v>77</v>
      </c>
      <c r="T31" s="24"/>
      <c r="U31" s="24"/>
      <c r="V31" s="17" t="s">
        <v>355</v>
      </c>
      <c r="W31" s="17" t="s">
        <v>356</v>
      </c>
      <c r="X31" s="17" t="s">
        <v>355</v>
      </c>
      <c r="Y31" s="17" t="s">
        <v>425</v>
      </c>
      <c r="Z31" s="17" t="s">
        <v>426</v>
      </c>
      <c r="AA31" s="17" t="s">
        <v>465</v>
      </c>
      <c r="AB31" s="17" t="s">
        <v>592</v>
      </c>
      <c r="AC31" s="17"/>
    </row>
    <row r="32" spans="1:29">
      <c r="A32" s="40">
        <v>31</v>
      </c>
      <c r="B32" s="23" t="s">
        <v>89</v>
      </c>
      <c r="C32" s="24" t="s">
        <v>196</v>
      </c>
      <c r="D32" s="24" t="s">
        <v>197</v>
      </c>
      <c r="E32" s="24" t="s">
        <v>21</v>
      </c>
      <c r="F32" s="24" t="s">
        <v>21</v>
      </c>
      <c r="G32" s="24" t="s">
        <v>198</v>
      </c>
      <c r="H32" s="25">
        <v>44435</v>
      </c>
      <c r="I32" s="25">
        <v>44435</v>
      </c>
      <c r="J32" s="25">
        <v>44435</v>
      </c>
      <c r="K32" s="25"/>
      <c r="L32" s="25"/>
      <c r="M32" s="25"/>
      <c r="N32" s="26">
        <v>2021</v>
      </c>
      <c r="O32" s="26">
        <v>1</v>
      </c>
      <c r="P32" s="27">
        <v>114658070</v>
      </c>
      <c r="Q32" s="27">
        <f t="shared" si="0"/>
        <v>114658</v>
      </c>
      <c r="R32" s="28" t="s">
        <v>318</v>
      </c>
      <c r="S32" s="24" t="s">
        <v>199</v>
      </c>
      <c r="T32" s="24"/>
      <c r="U32" s="24"/>
      <c r="V32" s="17" t="s">
        <v>357</v>
      </c>
      <c r="W32" s="17" t="s">
        <v>344</v>
      </c>
      <c r="X32" s="17" t="s">
        <v>427</v>
      </c>
      <c r="Y32" s="17" t="s">
        <v>428</v>
      </c>
      <c r="Z32" s="17" t="s">
        <v>429</v>
      </c>
      <c r="AA32" s="17" t="s">
        <v>465</v>
      </c>
      <c r="AB32" s="17" t="s">
        <v>573</v>
      </c>
      <c r="AC32" s="17"/>
    </row>
    <row r="33" spans="1:29">
      <c r="A33" s="40">
        <v>32</v>
      </c>
      <c r="B33" s="23" t="s">
        <v>91</v>
      </c>
      <c r="C33" s="24" t="s">
        <v>255</v>
      </c>
      <c r="D33" s="24" t="s">
        <v>200</v>
      </c>
      <c r="E33" s="24" t="s">
        <v>92</v>
      </c>
      <c r="F33" s="24" t="s">
        <v>41</v>
      </c>
      <c r="G33" s="24" t="s">
        <v>201</v>
      </c>
      <c r="H33" s="25">
        <v>44453</v>
      </c>
      <c r="I33" s="25">
        <v>44453</v>
      </c>
      <c r="J33" s="25">
        <v>44453</v>
      </c>
      <c r="K33" s="25"/>
      <c r="L33" s="25"/>
      <c r="M33" s="25"/>
      <c r="N33" s="26">
        <v>2021</v>
      </c>
      <c r="O33" s="26">
        <v>1</v>
      </c>
      <c r="P33" s="27">
        <v>354917360</v>
      </c>
      <c r="Q33" s="27">
        <f t="shared" si="0"/>
        <v>354917</v>
      </c>
      <c r="R33" s="28" t="s">
        <v>318</v>
      </c>
      <c r="S33" s="24" t="s">
        <v>202</v>
      </c>
      <c r="T33" s="24"/>
      <c r="U33" s="24" t="s">
        <v>203</v>
      </c>
      <c r="V33" s="17" t="s">
        <v>358</v>
      </c>
      <c r="W33" s="17" t="s">
        <v>359</v>
      </c>
      <c r="X33" s="17" t="s">
        <v>430</v>
      </c>
      <c r="Y33" s="17" t="s">
        <v>431</v>
      </c>
      <c r="Z33" s="17" t="s">
        <v>432</v>
      </c>
      <c r="AA33" s="17" t="s">
        <v>465</v>
      </c>
      <c r="AB33" s="17" t="s">
        <v>572</v>
      </c>
      <c r="AC33" s="17"/>
    </row>
    <row r="34" spans="1:29">
      <c r="A34" s="40">
        <v>33</v>
      </c>
      <c r="B34" s="23" t="s">
        <v>66</v>
      </c>
      <c r="C34" s="24" t="s">
        <v>204</v>
      </c>
      <c r="D34" s="24" t="s">
        <v>257</v>
      </c>
      <c r="E34" s="24" t="s">
        <v>312</v>
      </c>
      <c r="F34" s="24" t="s">
        <v>57</v>
      </c>
      <c r="G34" s="24" t="s">
        <v>206</v>
      </c>
      <c r="H34" s="25">
        <v>44753</v>
      </c>
      <c r="I34" s="25"/>
      <c r="J34" s="25">
        <v>44753</v>
      </c>
      <c r="K34" s="25"/>
      <c r="L34" s="25"/>
      <c r="M34" s="25"/>
      <c r="N34" s="26">
        <v>2022</v>
      </c>
      <c r="O34" s="26">
        <v>1</v>
      </c>
      <c r="P34" s="27">
        <v>1780000</v>
      </c>
      <c r="Q34" s="27">
        <f t="shared" si="0"/>
        <v>1780</v>
      </c>
      <c r="R34" s="28" t="s">
        <v>318</v>
      </c>
      <c r="S34" s="24" t="s">
        <v>207</v>
      </c>
      <c r="T34" s="24"/>
      <c r="U34" s="24"/>
      <c r="V34" s="17" t="s">
        <v>360</v>
      </c>
      <c r="W34" s="17"/>
      <c r="X34" s="17" t="s">
        <v>433</v>
      </c>
      <c r="Y34" s="17" t="s">
        <v>434</v>
      </c>
      <c r="Z34" s="17" t="s">
        <v>435</v>
      </c>
      <c r="AA34" s="17" t="s">
        <v>465</v>
      </c>
      <c r="AB34" s="17" t="s">
        <v>574</v>
      </c>
      <c r="AC34" s="17"/>
    </row>
    <row r="35" spans="1:29">
      <c r="A35" s="40">
        <v>34</v>
      </c>
      <c r="B35" s="23" t="s">
        <v>66</v>
      </c>
      <c r="C35" s="24" t="s">
        <v>208</v>
      </c>
      <c r="D35" s="24" t="s">
        <v>205</v>
      </c>
      <c r="E35" s="24" t="s">
        <v>57</v>
      </c>
      <c r="F35" s="24" t="s">
        <v>57</v>
      </c>
      <c r="G35" s="24" t="s">
        <v>206</v>
      </c>
      <c r="H35" s="25">
        <v>44753</v>
      </c>
      <c r="I35" s="25"/>
      <c r="J35" s="25">
        <v>44753</v>
      </c>
      <c r="K35" s="25"/>
      <c r="L35" s="25"/>
      <c r="M35" s="25"/>
      <c r="N35" s="26">
        <v>2022</v>
      </c>
      <c r="O35" s="26">
        <v>1</v>
      </c>
      <c r="P35" s="27">
        <v>1780000</v>
      </c>
      <c r="Q35" s="27">
        <f t="shared" si="0"/>
        <v>1780</v>
      </c>
      <c r="R35" s="28" t="s">
        <v>318</v>
      </c>
      <c r="S35" s="24" t="s">
        <v>207</v>
      </c>
      <c r="T35" s="24"/>
      <c r="U35" s="24"/>
      <c r="V35" s="17" t="s">
        <v>360</v>
      </c>
      <c r="W35" s="17"/>
      <c r="X35" s="17" t="s">
        <v>433</v>
      </c>
      <c r="Y35" s="17" t="s">
        <v>434</v>
      </c>
      <c r="Z35" s="17" t="s">
        <v>435</v>
      </c>
      <c r="AA35" s="17" t="s">
        <v>465</v>
      </c>
      <c r="AB35" s="17" t="s">
        <v>574</v>
      </c>
      <c r="AC35" s="17"/>
    </row>
    <row r="36" spans="1:29">
      <c r="A36" s="40">
        <v>35</v>
      </c>
      <c r="B36" s="23" t="s">
        <v>93</v>
      </c>
      <c r="C36" s="24" t="s">
        <v>209</v>
      </c>
      <c r="D36" s="24" t="s">
        <v>210</v>
      </c>
      <c r="E36" s="24" t="s">
        <v>314</v>
      </c>
      <c r="F36" s="24" t="s">
        <v>94</v>
      </c>
      <c r="G36" s="24" t="s">
        <v>211</v>
      </c>
      <c r="H36" s="25">
        <v>44761</v>
      </c>
      <c r="I36" s="25">
        <v>44761</v>
      </c>
      <c r="J36" s="25">
        <v>44761</v>
      </c>
      <c r="K36" s="25"/>
      <c r="L36" s="25"/>
      <c r="M36" s="25"/>
      <c r="N36" s="26">
        <v>2022</v>
      </c>
      <c r="O36" s="26">
        <v>1</v>
      </c>
      <c r="P36" s="27">
        <v>161442760</v>
      </c>
      <c r="Q36" s="27">
        <f t="shared" si="0"/>
        <v>161443</v>
      </c>
      <c r="R36" s="28" t="s">
        <v>318</v>
      </c>
      <c r="S36" s="24" t="s">
        <v>212</v>
      </c>
      <c r="T36" s="24" t="s">
        <v>293</v>
      </c>
      <c r="U36" s="24" t="s">
        <v>189</v>
      </c>
      <c r="V36" s="17" t="s">
        <v>361</v>
      </c>
      <c r="W36" s="17" t="s">
        <v>359</v>
      </c>
      <c r="X36" s="17" t="s">
        <v>436</v>
      </c>
      <c r="Y36" s="17" t="s">
        <v>437</v>
      </c>
      <c r="Z36" s="17" t="s">
        <v>438</v>
      </c>
      <c r="AA36" s="17" t="s">
        <v>465</v>
      </c>
      <c r="AB36" s="17" t="s">
        <v>575</v>
      </c>
      <c r="AC36" s="17"/>
    </row>
    <row r="37" spans="1:29">
      <c r="A37" s="40">
        <v>36</v>
      </c>
      <c r="B37" s="23" t="s">
        <v>42</v>
      </c>
      <c r="C37" s="24" t="s">
        <v>213</v>
      </c>
      <c r="D37" s="24" t="s">
        <v>214</v>
      </c>
      <c r="E37" s="24" t="s">
        <v>95</v>
      </c>
      <c r="F37" s="24" t="s">
        <v>96</v>
      </c>
      <c r="G37" s="24" t="s">
        <v>215</v>
      </c>
      <c r="H37" s="25">
        <v>43647</v>
      </c>
      <c r="I37" s="25">
        <v>43647</v>
      </c>
      <c r="J37" s="25">
        <v>43647</v>
      </c>
      <c r="K37" s="25"/>
      <c r="L37" s="30"/>
      <c r="M37" s="25">
        <v>44853</v>
      </c>
      <c r="N37" s="26">
        <v>2019</v>
      </c>
      <c r="O37" s="26">
        <v>1</v>
      </c>
      <c r="P37" s="27">
        <v>38708980</v>
      </c>
      <c r="Q37" s="27">
        <f t="shared" si="0"/>
        <v>38709</v>
      </c>
      <c r="R37" s="28" t="s">
        <v>318</v>
      </c>
      <c r="S37" s="24" t="s">
        <v>216</v>
      </c>
      <c r="T37" s="24" t="s">
        <v>296</v>
      </c>
      <c r="U37" s="24"/>
      <c r="V37" s="17" t="s">
        <v>362</v>
      </c>
      <c r="W37" s="17"/>
      <c r="X37" s="17" t="s">
        <v>362</v>
      </c>
      <c r="Y37" s="17" t="s">
        <v>439</v>
      </c>
      <c r="Z37" s="17" t="s">
        <v>440</v>
      </c>
      <c r="AA37" s="17" t="s">
        <v>465</v>
      </c>
      <c r="AB37" s="17" t="s">
        <v>576</v>
      </c>
      <c r="AC37" s="17"/>
    </row>
    <row r="38" spans="1:29">
      <c r="A38" s="40">
        <v>37</v>
      </c>
      <c r="B38" s="23" t="s">
        <v>97</v>
      </c>
      <c r="C38" s="24" t="s">
        <v>217</v>
      </c>
      <c r="D38" s="24" t="s">
        <v>218</v>
      </c>
      <c r="E38" s="24" t="s">
        <v>98</v>
      </c>
      <c r="F38" s="24" t="s">
        <v>99</v>
      </c>
      <c r="G38" s="24" t="s">
        <v>219</v>
      </c>
      <c r="H38" s="25">
        <v>44964</v>
      </c>
      <c r="I38" s="25">
        <v>44964</v>
      </c>
      <c r="J38" s="25">
        <v>44964</v>
      </c>
      <c r="K38" s="25"/>
      <c r="L38" s="25"/>
      <c r="M38" s="25"/>
      <c r="N38" s="26">
        <v>2023</v>
      </c>
      <c r="O38" s="26">
        <v>1</v>
      </c>
      <c r="P38" s="27">
        <v>6996000</v>
      </c>
      <c r="Q38" s="27">
        <f t="shared" si="0"/>
        <v>6996</v>
      </c>
      <c r="R38" s="28" t="s">
        <v>318</v>
      </c>
      <c r="S38" s="24" t="s">
        <v>88</v>
      </c>
      <c r="T38" s="24"/>
      <c r="U38" s="24"/>
      <c r="V38" s="17"/>
      <c r="W38" s="17"/>
      <c r="X38" s="17"/>
      <c r="Y38" s="17"/>
      <c r="Z38" s="17"/>
      <c r="AA38" s="17" t="s">
        <v>465</v>
      </c>
      <c r="AB38" s="17"/>
      <c r="AC38" s="17"/>
    </row>
    <row r="39" spans="1:29">
      <c r="A39" s="40">
        <v>38</v>
      </c>
      <c r="B39" s="23" t="s">
        <v>220</v>
      </c>
      <c r="C39" s="24" t="s">
        <v>221</v>
      </c>
      <c r="D39" s="24" t="s">
        <v>274</v>
      </c>
      <c r="E39" s="24" t="s">
        <v>222</v>
      </c>
      <c r="F39" s="24" t="s">
        <v>275</v>
      </c>
      <c r="G39" s="24" t="s">
        <v>223</v>
      </c>
      <c r="H39" s="25">
        <v>45042</v>
      </c>
      <c r="I39" s="25"/>
      <c r="J39" s="25">
        <v>45042</v>
      </c>
      <c r="K39" s="25"/>
      <c r="L39" s="25"/>
      <c r="M39" s="25"/>
      <c r="N39" s="26">
        <v>2023</v>
      </c>
      <c r="O39" s="26">
        <v>1</v>
      </c>
      <c r="P39" s="27">
        <v>3740000</v>
      </c>
      <c r="Q39" s="27">
        <f t="shared" si="0"/>
        <v>3740</v>
      </c>
      <c r="R39" s="28" t="s">
        <v>318</v>
      </c>
      <c r="S39" s="24" t="s">
        <v>224</v>
      </c>
      <c r="T39" s="24"/>
      <c r="U39" s="24"/>
      <c r="V39" s="17"/>
      <c r="W39" s="17"/>
      <c r="X39" s="17"/>
      <c r="Y39" s="17"/>
      <c r="Z39" s="17"/>
      <c r="AA39" s="17" t="s">
        <v>465</v>
      </c>
      <c r="AB39" s="17"/>
      <c r="AC39" s="17"/>
    </row>
    <row r="40" spans="1:29">
      <c r="A40" s="40">
        <v>39</v>
      </c>
      <c r="B40" s="23" t="s">
        <v>101</v>
      </c>
      <c r="C40" s="24" t="s">
        <v>225</v>
      </c>
      <c r="D40" s="24" t="s">
        <v>226</v>
      </c>
      <c r="E40" s="24" t="s">
        <v>102</v>
      </c>
      <c r="F40" s="24" t="s">
        <v>103</v>
      </c>
      <c r="G40" s="24" t="s">
        <v>227</v>
      </c>
      <c r="H40" s="25">
        <v>45097</v>
      </c>
      <c r="I40" s="25">
        <v>45097</v>
      </c>
      <c r="J40" s="25">
        <v>45097</v>
      </c>
      <c r="K40" s="25"/>
      <c r="L40" s="25"/>
      <c r="M40" s="25"/>
      <c r="N40" s="26">
        <v>2023</v>
      </c>
      <c r="O40" s="26">
        <v>1</v>
      </c>
      <c r="P40" s="27">
        <v>86754320</v>
      </c>
      <c r="Q40" s="27">
        <f t="shared" si="0"/>
        <v>86754</v>
      </c>
      <c r="R40" s="28" t="s">
        <v>318</v>
      </c>
      <c r="S40" s="24" t="s">
        <v>228</v>
      </c>
      <c r="T40" s="24"/>
      <c r="U40" s="24"/>
      <c r="V40" s="17" t="s">
        <v>330</v>
      </c>
      <c r="W40" s="17" t="s">
        <v>331</v>
      </c>
      <c r="X40" s="17" t="s">
        <v>441</v>
      </c>
      <c r="Y40" s="17" t="s">
        <v>442</v>
      </c>
      <c r="Z40" s="17" t="s">
        <v>443</v>
      </c>
      <c r="AA40" s="17" t="s">
        <v>465</v>
      </c>
      <c r="AB40" s="17" t="s">
        <v>593</v>
      </c>
      <c r="AC40" s="17" t="s">
        <v>483</v>
      </c>
    </row>
    <row r="41" spans="1:29">
      <c r="A41" s="40">
        <v>40</v>
      </c>
      <c r="B41" s="23" t="s">
        <v>105</v>
      </c>
      <c r="C41" s="24" t="s">
        <v>229</v>
      </c>
      <c r="D41" s="24" t="s">
        <v>197</v>
      </c>
      <c r="E41" s="24" t="s">
        <v>21</v>
      </c>
      <c r="F41" s="24" t="s">
        <v>21</v>
      </c>
      <c r="G41" s="24" t="s">
        <v>230</v>
      </c>
      <c r="H41" s="25">
        <v>45125</v>
      </c>
      <c r="I41" s="25">
        <v>45125</v>
      </c>
      <c r="J41" s="25">
        <v>45125</v>
      </c>
      <c r="K41" s="25"/>
      <c r="L41" s="25"/>
      <c r="M41" s="25"/>
      <c r="N41" s="26">
        <v>2023</v>
      </c>
      <c r="O41" s="26">
        <v>1</v>
      </c>
      <c r="P41" s="27">
        <v>101694480</v>
      </c>
      <c r="Q41" s="27">
        <f t="shared" si="0"/>
        <v>101694</v>
      </c>
      <c r="R41" s="28" t="s">
        <v>318</v>
      </c>
      <c r="S41" s="24" t="s">
        <v>231</v>
      </c>
      <c r="T41" s="24"/>
      <c r="U41" s="24"/>
      <c r="V41" s="17" t="s">
        <v>363</v>
      </c>
      <c r="W41" s="17" t="s">
        <v>344</v>
      </c>
      <c r="X41" s="17" t="s">
        <v>444</v>
      </c>
      <c r="Y41" s="17" t="s">
        <v>445</v>
      </c>
      <c r="Z41" s="17" t="s">
        <v>446</v>
      </c>
      <c r="AA41" s="17" t="s">
        <v>465</v>
      </c>
      <c r="AB41" s="17" t="s">
        <v>577</v>
      </c>
      <c r="AC41" s="17"/>
    </row>
    <row r="42" spans="1:29">
      <c r="A42" s="40">
        <v>41</v>
      </c>
      <c r="B42" s="23" t="s">
        <v>108</v>
      </c>
      <c r="C42" s="24" t="s">
        <v>232</v>
      </c>
      <c r="D42" s="24" t="s">
        <v>233</v>
      </c>
      <c r="E42" s="24" t="s">
        <v>69</v>
      </c>
      <c r="F42" s="24" t="s">
        <v>69</v>
      </c>
      <c r="G42" s="24" t="s">
        <v>234</v>
      </c>
      <c r="H42" s="25">
        <v>44756</v>
      </c>
      <c r="I42" s="25">
        <v>44756</v>
      </c>
      <c r="J42" s="25">
        <v>44756</v>
      </c>
      <c r="K42" s="25"/>
      <c r="L42" s="25"/>
      <c r="M42" s="25"/>
      <c r="N42" s="26">
        <v>2022</v>
      </c>
      <c r="O42" s="26">
        <v>1</v>
      </c>
      <c r="P42" s="27">
        <v>5156320</v>
      </c>
      <c r="Q42" s="27">
        <f t="shared" si="0"/>
        <v>5156</v>
      </c>
      <c r="R42" s="28" t="s">
        <v>318</v>
      </c>
      <c r="S42" s="24" t="s">
        <v>235</v>
      </c>
      <c r="T42" s="24"/>
      <c r="U42" s="24"/>
      <c r="V42" s="17" t="s">
        <v>234</v>
      </c>
      <c r="W42" s="17"/>
      <c r="X42" s="17" t="s">
        <v>447</v>
      </c>
      <c r="Y42" s="17" t="s">
        <v>448</v>
      </c>
      <c r="Z42" s="17" t="s">
        <v>449</v>
      </c>
      <c r="AA42" s="17" t="s">
        <v>465</v>
      </c>
      <c r="AB42" s="17" t="s">
        <v>578</v>
      </c>
      <c r="AC42" s="17"/>
    </row>
    <row r="43" spans="1:29">
      <c r="A43" s="40">
        <v>42</v>
      </c>
      <c r="B43" s="23" t="s">
        <v>108</v>
      </c>
      <c r="C43" s="24" t="s">
        <v>236</v>
      </c>
      <c r="D43" s="24" t="s">
        <v>233</v>
      </c>
      <c r="E43" s="24" t="s">
        <v>69</v>
      </c>
      <c r="F43" s="24" t="s">
        <v>69</v>
      </c>
      <c r="G43" s="24" t="s">
        <v>234</v>
      </c>
      <c r="H43" s="25">
        <v>44756</v>
      </c>
      <c r="I43" s="25">
        <v>44756</v>
      </c>
      <c r="J43" s="25">
        <v>44756</v>
      </c>
      <c r="K43" s="25"/>
      <c r="L43" s="25"/>
      <c r="M43" s="25"/>
      <c r="N43" s="26">
        <v>2022</v>
      </c>
      <c r="O43" s="26">
        <v>1</v>
      </c>
      <c r="P43" s="27">
        <v>5156310</v>
      </c>
      <c r="Q43" s="27">
        <f t="shared" si="0"/>
        <v>5156</v>
      </c>
      <c r="R43" s="28" t="s">
        <v>318</v>
      </c>
      <c r="S43" s="24" t="s">
        <v>235</v>
      </c>
      <c r="T43" s="24"/>
      <c r="U43" s="24"/>
      <c r="V43" s="17" t="s">
        <v>234</v>
      </c>
      <c r="W43" s="17"/>
      <c r="X43" s="17" t="s">
        <v>447</v>
      </c>
      <c r="Y43" s="17" t="s">
        <v>448</v>
      </c>
      <c r="Z43" s="17" t="s">
        <v>449</v>
      </c>
      <c r="AA43" s="17" t="s">
        <v>465</v>
      </c>
      <c r="AB43" s="17" t="s">
        <v>578</v>
      </c>
      <c r="AC43" s="17"/>
    </row>
    <row r="44" spans="1:29">
      <c r="A44" s="40">
        <v>43</v>
      </c>
      <c r="B44" s="23" t="s">
        <v>237</v>
      </c>
      <c r="C44" s="24" t="s">
        <v>238</v>
      </c>
      <c r="D44" s="24" t="s">
        <v>276</v>
      </c>
      <c r="E44" s="24" t="s">
        <v>240</v>
      </c>
      <c r="F44" s="24" t="s">
        <v>277</v>
      </c>
      <c r="G44" s="24" t="s">
        <v>241</v>
      </c>
      <c r="H44" s="25">
        <v>45737</v>
      </c>
      <c r="I44" s="25"/>
      <c r="J44" s="25">
        <v>45737</v>
      </c>
      <c r="K44" s="25"/>
      <c r="L44" s="25"/>
      <c r="M44" s="25"/>
      <c r="N44" s="26">
        <v>2025</v>
      </c>
      <c r="O44" s="26">
        <v>1</v>
      </c>
      <c r="P44" s="27">
        <v>2099025</v>
      </c>
      <c r="Q44" s="27">
        <f t="shared" si="0"/>
        <v>2099</v>
      </c>
      <c r="R44" s="28" t="s">
        <v>318</v>
      </c>
      <c r="S44" s="24" t="s">
        <v>207</v>
      </c>
      <c r="T44" s="24"/>
      <c r="U44" s="24"/>
      <c r="V44" s="17" t="s">
        <v>364</v>
      </c>
      <c r="W44" s="17" t="s">
        <v>335</v>
      </c>
      <c r="X44" s="17" t="s">
        <v>364</v>
      </c>
      <c r="Y44" s="17" t="s">
        <v>450</v>
      </c>
      <c r="Z44" s="17" t="s">
        <v>451</v>
      </c>
      <c r="AA44" s="17" t="s">
        <v>465</v>
      </c>
      <c r="AB44" s="17" t="s">
        <v>579</v>
      </c>
      <c r="AC44" s="17"/>
    </row>
    <row r="45" spans="1:29">
      <c r="A45" s="40">
        <v>44</v>
      </c>
      <c r="B45" s="23" t="s">
        <v>237</v>
      </c>
      <c r="C45" s="24" t="s">
        <v>242</v>
      </c>
      <c r="D45" s="24" t="s">
        <v>239</v>
      </c>
      <c r="E45" s="24" t="s">
        <v>240</v>
      </c>
      <c r="F45" s="24" t="s">
        <v>277</v>
      </c>
      <c r="G45" s="24" t="s">
        <v>241</v>
      </c>
      <c r="H45" s="25">
        <v>45737</v>
      </c>
      <c r="I45" s="25"/>
      <c r="J45" s="25">
        <v>45737</v>
      </c>
      <c r="K45" s="25"/>
      <c r="L45" s="25"/>
      <c r="M45" s="25"/>
      <c r="N45" s="26">
        <v>2025</v>
      </c>
      <c r="O45" s="26">
        <v>1</v>
      </c>
      <c r="P45" s="27">
        <v>2099025</v>
      </c>
      <c r="Q45" s="27">
        <f t="shared" si="0"/>
        <v>2099</v>
      </c>
      <c r="R45" s="28" t="s">
        <v>318</v>
      </c>
      <c r="S45" s="24" t="s">
        <v>207</v>
      </c>
      <c r="T45" s="24"/>
      <c r="U45" s="24"/>
      <c r="V45" s="17" t="s">
        <v>364</v>
      </c>
      <c r="W45" s="17" t="s">
        <v>335</v>
      </c>
      <c r="X45" s="17" t="s">
        <v>364</v>
      </c>
      <c r="Y45" s="17" t="s">
        <v>450</v>
      </c>
      <c r="Z45" s="17" t="s">
        <v>451</v>
      </c>
      <c r="AA45" s="17" t="s">
        <v>465</v>
      </c>
      <c r="AB45" s="17" t="s">
        <v>579</v>
      </c>
      <c r="AC45" s="17"/>
    </row>
    <row r="46" spans="1:29">
      <c r="A46" s="40">
        <v>45</v>
      </c>
      <c r="B46" s="23" t="s">
        <v>87</v>
      </c>
      <c r="C46" s="24" t="s">
        <v>243</v>
      </c>
      <c r="D46" s="24" t="s">
        <v>258</v>
      </c>
      <c r="E46" s="24" t="s">
        <v>25</v>
      </c>
      <c r="F46" s="24" t="s">
        <v>25</v>
      </c>
      <c r="G46" s="24" t="s">
        <v>244</v>
      </c>
      <c r="H46" s="25">
        <v>45792</v>
      </c>
      <c r="I46" s="25"/>
      <c r="J46" s="25">
        <v>45792</v>
      </c>
      <c r="K46" s="25"/>
      <c r="L46" s="25"/>
      <c r="M46" s="25"/>
      <c r="N46" s="26">
        <v>2025</v>
      </c>
      <c r="O46" s="26">
        <v>1</v>
      </c>
      <c r="P46" s="27">
        <v>4840000</v>
      </c>
      <c r="Q46" s="27">
        <f t="shared" si="0"/>
        <v>4840</v>
      </c>
      <c r="R46" s="28" t="s">
        <v>318</v>
      </c>
      <c r="S46" s="17" t="s">
        <v>461</v>
      </c>
      <c r="T46" s="24" t="s">
        <v>310</v>
      </c>
      <c r="U46" s="24"/>
      <c r="V46" s="17" t="s">
        <v>365</v>
      </c>
      <c r="W46" s="17" t="s">
        <v>327</v>
      </c>
      <c r="X46" s="17" t="s">
        <v>452</v>
      </c>
      <c r="Y46" s="17" t="s">
        <v>453</v>
      </c>
      <c r="Z46" s="17" t="s">
        <v>454</v>
      </c>
      <c r="AA46" s="17" t="s">
        <v>465</v>
      </c>
      <c r="AB46" s="17" t="s">
        <v>580</v>
      </c>
      <c r="AC46" s="17"/>
    </row>
    <row r="47" spans="1:29">
      <c r="A47" s="40">
        <v>46</v>
      </c>
      <c r="B47" s="23" t="s">
        <v>111</v>
      </c>
      <c r="C47" s="24" t="s">
        <v>245</v>
      </c>
      <c r="D47" s="24" t="s">
        <v>304</v>
      </c>
      <c r="E47" s="24" t="s">
        <v>76</v>
      </c>
      <c r="F47" s="24" t="s">
        <v>76</v>
      </c>
      <c r="G47" s="24" t="s">
        <v>246</v>
      </c>
      <c r="H47" s="25">
        <v>45866</v>
      </c>
      <c r="I47" s="25">
        <v>45866</v>
      </c>
      <c r="J47" s="25">
        <v>45866</v>
      </c>
      <c r="K47" s="25"/>
      <c r="L47" s="25"/>
      <c r="M47" s="25"/>
      <c r="N47" s="26">
        <v>2025</v>
      </c>
      <c r="O47" s="26">
        <v>1</v>
      </c>
      <c r="P47" s="27">
        <v>40480000</v>
      </c>
      <c r="Q47" s="27">
        <f t="shared" si="0"/>
        <v>40480</v>
      </c>
      <c r="R47" s="28" t="s">
        <v>318</v>
      </c>
      <c r="S47" s="17" t="s">
        <v>462</v>
      </c>
      <c r="T47" s="24" t="s">
        <v>311</v>
      </c>
      <c r="U47" s="24"/>
      <c r="V47" s="17" t="s">
        <v>366</v>
      </c>
      <c r="W47" s="17" t="s">
        <v>333</v>
      </c>
      <c r="X47" s="17" t="s">
        <v>455</v>
      </c>
      <c r="Y47" s="17" t="s">
        <v>456</v>
      </c>
      <c r="Z47" s="17" t="s">
        <v>457</v>
      </c>
      <c r="AA47" s="17" t="s">
        <v>465</v>
      </c>
      <c r="AB47" s="17" t="s">
        <v>581</v>
      </c>
      <c r="AC47" s="17"/>
    </row>
    <row r="48" spans="1:29">
      <c r="A48" s="40">
        <v>47</v>
      </c>
      <c r="B48" s="23" t="s">
        <v>31</v>
      </c>
      <c r="C48" s="24" t="s">
        <v>247</v>
      </c>
      <c r="D48" s="24" t="s">
        <v>248</v>
      </c>
      <c r="E48" s="24" t="s">
        <v>115</v>
      </c>
      <c r="F48" s="24" t="s">
        <v>115</v>
      </c>
      <c r="G48" s="24" t="s">
        <v>249</v>
      </c>
      <c r="H48" s="25">
        <v>45958</v>
      </c>
      <c r="I48" s="25">
        <v>45859</v>
      </c>
      <c r="J48" s="25">
        <v>45859</v>
      </c>
      <c r="K48" s="25"/>
      <c r="L48" s="25"/>
      <c r="M48" s="25"/>
      <c r="N48" s="26">
        <v>2025</v>
      </c>
      <c r="O48" s="26">
        <v>1</v>
      </c>
      <c r="P48" s="27">
        <v>74988220</v>
      </c>
      <c r="Q48" s="27">
        <f t="shared" si="0"/>
        <v>74988</v>
      </c>
      <c r="R48" s="28" t="s">
        <v>318</v>
      </c>
      <c r="S48" s="24" t="s">
        <v>139</v>
      </c>
      <c r="T48" s="24"/>
      <c r="U48" s="24"/>
      <c r="V48" s="17" t="s">
        <v>367</v>
      </c>
      <c r="W48" s="17" t="s">
        <v>368</v>
      </c>
      <c r="X48" s="17" t="s">
        <v>458</v>
      </c>
      <c r="Y48" s="17" t="s">
        <v>459</v>
      </c>
      <c r="Z48" s="17" t="s">
        <v>460</v>
      </c>
      <c r="AA48" s="17" t="s">
        <v>465</v>
      </c>
      <c r="AB48" s="17" t="s">
        <v>594</v>
      </c>
      <c r="AC48" s="17"/>
    </row>
    <row r="49" spans="1:29" s="16" customFormat="1">
      <c r="A49" s="38" t="s">
        <v>596</v>
      </c>
      <c r="B49" s="31" t="s">
        <v>586</v>
      </c>
      <c r="C49" s="32" t="s">
        <v>595</v>
      </c>
      <c r="D49" s="32" t="s">
        <v>595</v>
      </c>
      <c r="E49" s="32" t="s">
        <v>587</v>
      </c>
      <c r="F49" s="32"/>
      <c r="G49" s="32"/>
      <c r="H49" s="33">
        <v>41813</v>
      </c>
      <c r="I49" s="33"/>
      <c r="J49" s="33">
        <v>41813</v>
      </c>
      <c r="K49" s="33"/>
      <c r="L49" s="33"/>
      <c r="M49" s="33"/>
      <c r="N49" s="34">
        <v>2014</v>
      </c>
      <c r="O49" s="34">
        <v>1</v>
      </c>
      <c r="P49" s="35">
        <v>0</v>
      </c>
      <c r="Q49" s="35">
        <f t="shared" ref="Q49" si="1">ROUND(P49/1000,0)</f>
        <v>0</v>
      </c>
      <c r="R49" s="36" t="s">
        <v>318</v>
      </c>
      <c r="S49" s="32" t="s">
        <v>587</v>
      </c>
      <c r="T49" s="32" t="s">
        <v>598</v>
      </c>
      <c r="U49" s="32" t="s">
        <v>126</v>
      </c>
      <c r="V49" s="37"/>
      <c r="W49" s="37" t="s">
        <v>327</v>
      </c>
      <c r="X49" s="37" t="s">
        <v>385</v>
      </c>
      <c r="Y49" s="37" t="s">
        <v>386</v>
      </c>
      <c r="Z49" s="37" t="s">
        <v>387</v>
      </c>
      <c r="AA49" s="37" t="s">
        <v>465</v>
      </c>
      <c r="AB49" s="18" t="s">
        <v>588</v>
      </c>
      <c r="AC49" s="18"/>
    </row>
  </sheetData>
  <phoneticPr fontId="1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4E7C-FD84-4896-A993-731E7E4EBF43}">
  <dimension ref="A1:T2"/>
  <sheetViews>
    <sheetView workbookViewId="0">
      <selection activeCell="J11" sqref="J11"/>
    </sheetView>
  </sheetViews>
  <sheetFormatPr defaultRowHeight="13.5"/>
  <cols>
    <col min="1" max="6" width="9.140625" style="7"/>
    <col min="7" max="10" width="11.28515625" style="7" bestFit="1" customWidth="1"/>
    <col min="11" max="12" width="9.140625" style="7"/>
    <col min="13" max="14" width="9.28515625" style="7" bestFit="1" customWidth="1"/>
    <col min="15" max="15" width="10.5703125" style="7" bestFit="1" customWidth="1"/>
    <col min="16" max="16" width="9.28515625" style="7" bestFit="1" customWidth="1"/>
    <col min="17" max="16384" width="9.140625" style="7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319</v>
      </c>
      <c r="F1" s="1" t="s">
        <v>320</v>
      </c>
      <c r="G1" s="1" t="s">
        <v>281</v>
      </c>
      <c r="H1" s="1" t="s">
        <v>287</v>
      </c>
      <c r="I1" s="1" t="s">
        <v>321</v>
      </c>
      <c r="J1" s="1" t="s">
        <v>282</v>
      </c>
      <c r="K1" s="1" t="s">
        <v>283</v>
      </c>
      <c r="L1" s="1" t="s">
        <v>306</v>
      </c>
      <c r="M1" s="1" t="s">
        <v>4</v>
      </c>
      <c r="N1" s="1" t="s">
        <v>5</v>
      </c>
      <c r="O1" s="1" t="s">
        <v>284</v>
      </c>
      <c r="P1" s="1" t="s">
        <v>6</v>
      </c>
      <c r="Q1" s="1" t="s">
        <v>317</v>
      </c>
      <c r="R1" s="1" t="s">
        <v>9</v>
      </c>
      <c r="S1" s="1" t="s">
        <v>290</v>
      </c>
      <c r="T1" s="1" t="s">
        <v>11</v>
      </c>
    </row>
    <row r="2" spans="1:20">
      <c r="A2" s="2" t="s">
        <v>279</v>
      </c>
      <c r="B2" s="3" t="s">
        <v>285</v>
      </c>
      <c r="C2" s="3" t="s">
        <v>286</v>
      </c>
      <c r="D2" s="3" t="s">
        <v>251</v>
      </c>
      <c r="E2" s="3" t="s">
        <v>76</v>
      </c>
      <c r="F2" s="3" t="s">
        <v>278</v>
      </c>
      <c r="G2" s="4">
        <v>38877</v>
      </c>
      <c r="H2" s="4">
        <v>38877</v>
      </c>
      <c r="I2" s="4">
        <v>38877</v>
      </c>
      <c r="J2" s="4">
        <v>45292</v>
      </c>
      <c r="K2" s="4"/>
      <c r="L2" s="4"/>
      <c r="M2" s="2">
        <v>2006</v>
      </c>
      <c r="N2" s="2">
        <v>1</v>
      </c>
      <c r="O2" s="5">
        <v>35373600</v>
      </c>
      <c r="P2" s="5">
        <f>ROUND(O2/1000,0)</f>
        <v>35374</v>
      </c>
      <c r="Q2" s="6" t="s">
        <v>250</v>
      </c>
      <c r="R2" s="3" t="s">
        <v>315</v>
      </c>
      <c r="S2" s="3" t="s">
        <v>305</v>
      </c>
      <c r="T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CEEE-C7F8-4842-933D-899B956166E0}">
  <dimension ref="A1:E71"/>
  <sheetViews>
    <sheetView workbookViewId="0">
      <pane ySplit="1" topLeftCell="A14" activePane="bottomLeft" state="frozen"/>
      <selection pane="bottomLeft" activeCell="E27" sqref="E27"/>
    </sheetView>
  </sheetViews>
  <sheetFormatPr defaultRowHeight="15"/>
  <cols>
    <col min="1" max="1" width="18.5703125" style="8" customWidth="1"/>
    <col min="2" max="2" width="9.28515625" style="8" bestFit="1" customWidth="1"/>
    <col min="3" max="3" width="68.5703125" style="8" customWidth="1"/>
    <col min="4" max="4" width="11.140625" style="8" customWidth="1"/>
    <col min="5" max="5" width="9.140625" style="8" customWidth="1"/>
    <col min="6" max="16384" width="9.140625" style="8"/>
  </cols>
  <sheetData>
    <row r="1" spans="1:5">
      <c r="A1" s="9" t="s">
        <v>558</v>
      </c>
      <c r="B1" s="9" t="s">
        <v>582</v>
      </c>
      <c r="C1" s="9" t="s">
        <v>290</v>
      </c>
      <c r="D1" s="9" t="s">
        <v>583</v>
      </c>
      <c r="E1" s="9" t="s">
        <v>584</v>
      </c>
    </row>
    <row r="2" spans="1:5">
      <c r="A2" s="10" t="s">
        <v>7</v>
      </c>
      <c r="B2" s="11">
        <v>1</v>
      </c>
      <c r="C2" s="10" t="s">
        <v>557</v>
      </c>
      <c r="D2" s="11">
        <v>1</v>
      </c>
      <c r="E2" s="10" t="s">
        <v>514</v>
      </c>
    </row>
    <row r="3" spans="1:5">
      <c r="A3" s="10" t="s">
        <v>7</v>
      </c>
      <c r="B3" s="11">
        <v>2</v>
      </c>
      <c r="C3" s="10" t="s">
        <v>556</v>
      </c>
      <c r="D3" s="11">
        <v>1</v>
      </c>
      <c r="E3" s="10" t="s">
        <v>514</v>
      </c>
    </row>
    <row r="4" spans="1:5">
      <c r="A4" s="10" t="s">
        <v>7</v>
      </c>
      <c r="B4" s="11">
        <v>3</v>
      </c>
      <c r="C4" s="10" t="s">
        <v>555</v>
      </c>
      <c r="D4" s="11">
        <v>1</v>
      </c>
      <c r="E4" s="10" t="s">
        <v>514</v>
      </c>
    </row>
    <row r="5" spans="1:5">
      <c r="A5" s="10" t="s">
        <v>7</v>
      </c>
      <c r="B5" s="11">
        <v>4</v>
      </c>
      <c r="C5" s="10" t="s">
        <v>554</v>
      </c>
      <c r="D5" s="11">
        <v>1</v>
      </c>
      <c r="E5" s="10" t="s">
        <v>514</v>
      </c>
    </row>
    <row r="6" spans="1:5">
      <c r="A6" s="10" t="s">
        <v>40</v>
      </c>
      <c r="B6" s="11">
        <v>1</v>
      </c>
      <c r="C6" s="10" t="s">
        <v>545</v>
      </c>
      <c r="D6" s="11">
        <v>1</v>
      </c>
      <c r="E6" s="10" t="s">
        <v>492</v>
      </c>
    </row>
    <row r="7" spans="1:5">
      <c r="A7" s="10" t="s">
        <v>40</v>
      </c>
      <c r="B7" s="11">
        <v>2</v>
      </c>
      <c r="C7" s="10" t="s">
        <v>553</v>
      </c>
      <c r="D7" s="11">
        <v>1</v>
      </c>
      <c r="E7" s="10" t="s">
        <v>492</v>
      </c>
    </row>
    <row r="8" spans="1:5">
      <c r="A8" s="10" t="s">
        <v>40</v>
      </c>
      <c r="B8" s="11">
        <v>3</v>
      </c>
      <c r="C8" s="10" t="s">
        <v>552</v>
      </c>
      <c r="D8" s="11">
        <v>1</v>
      </c>
      <c r="E8" s="10" t="s">
        <v>492</v>
      </c>
    </row>
    <row r="9" spans="1:5">
      <c r="A9" s="10" t="s">
        <v>40</v>
      </c>
      <c r="B9" s="11">
        <v>4</v>
      </c>
      <c r="C9" s="10" t="s">
        <v>551</v>
      </c>
      <c r="D9" s="11">
        <v>1</v>
      </c>
      <c r="E9" s="10" t="s">
        <v>492</v>
      </c>
    </row>
    <row r="10" spans="1:5">
      <c r="A10" s="10" t="s">
        <v>40</v>
      </c>
      <c r="B10" s="11">
        <v>5</v>
      </c>
      <c r="C10" s="10" t="s">
        <v>550</v>
      </c>
      <c r="D10" s="11">
        <v>1</v>
      </c>
      <c r="E10" s="10" t="s">
        <v>492</v>
      </c>
    </row>
    <row r="11" spans="1:5">
      <c r="A11" s="10" t="s">
        <v>586</v>
      </c>
      <c r="B11" s="11">
        <v>1</v>
      </c>
      <c r="C11" s="10" t="s">
        <v>549</v>
      </c>
      <c r="D11" s="11">
        <v>1</v>
      </c>
      <c r="E11" s="10" t="s">
        <v>492</v>
      </c>
    </row>
    <row r="12" spans="1:5">
      <c r="A12" s="10" t="s">
        <v>586</v>
      </c>
      <c r="B12" s="11">
        <v>2</v>
      </c>
      <c r="C12" s="10" t="s">
        <v>548</v>
      </c>
      <c r="D12" s="11">
        <v>1</v>
      </c>
      <c r="E12" s="10" t="s">
        <v>492</v>
      </c>
    </row>
    <row r="13" spans="1:5">
      <c r="A13" s="10" t="s">
        <v>18</v>
      </c>
      <c r="B13" s="11">
        <v>1</v>
      </c>
      <c r="C13" s="10" t="s">
        <v>545</v>
      </c>
      <c r="D13" s="11">
        <v>1</v>
      </c>
      <c r="E13" s="10" t="s">
        <v>502</v>
      </c>
    </row>
    <row r="14" spans="1:5">
      <c r="A14" s="10" t="s">
        <v>18</v>
      </c>
      <c r="B14" s="11">
        <v>2</v>
      </c>
      <c r="C14" s="10" t="s">
        <v>547</v>
      </c>
      <c r="D14" s="11">
        <v>16</v>
      </c>
      <c r="E14" s="10" t="s">
        <v>514</v>
      </c>
    </row>
    <row r="15" spans="1:5">
      <c r="A15" s="10" t="s">
        <v>18</v>
      </c>
      <c r="B15" s="11">
        <v>3</v>
      </c>
      <c r="C15" s="10" t="s">
        <v>546</v>
      </c>
      <c r="D15" s="11">
        <v>10</v>
      </c>
      <c r="E15" s="10" t="s">
        <v>514</v>
      </c>
    </row>
    <row r="16" spans="1:5">
      <c r="A16" s="10" t="s">
        <v>22</v>
      </c>
      <c r="B16" s="11">
        <v>1</v>
      </c>
      <c r="C16" s="10" t="s">
        <v>545</v>
      </c>
      <c r="D16" s="11">
        <v>1</v>
      </c>
      <c r="E16" s="10" t="s">
        <v>502</v>
      </c>
    </row>
    <row r="17" spans="1:5">
      <c r="A17" s="10" t="s">
        <v>22</v>
      </c>
      <c r="B17" s="11">
        <v>2</v>
      </c>
      <c r="C17" s="10" t="s">
        <v>544</v>
      </c>
      <c r="D17" s="11">
        <v>1</v>
      </c>
      <c r="E17" s="10" t="s">
        <v>502</v>
      </c>
    </row>
    <row r="18" spans="1:5">
      <c r="A18" s="10" t="s">
        <v>167</v>
      </c>
      <c r="B18" s="11">
        <v>1</v>
      </c>
      <c r="C18" s="10" t="s">
        <v>543</v>
      </c>
      <c r="D18" s="11">
        <v>1</v>
      </c>
      <c r="E18" s="8" t="s">
        <v>585</v>
      </c>
    </row>
    <row r="19" spans="1:5">
      <c r="A19" s="10" t="s">
        <v>167</v>
      </c>
      <c r="B19" s="11">
        <v>2</v>
      </c>
      <c r="C19" s="10" t="s">
        <v>542</v>
      </c>
      <c r="D19" s="11">
        <v>1</v>
      </c>
      <c r="E19" s="8" t="s">
        <v>585</v>
      </c>
    </row>
    <row r="20" spans="1:5">
      <c r="A20" s="10" t="s">
        <v>167</v>
      </c>
      <c r="B20" s="11">
        <v>3</v>
      </c>
      <c r="C20" s="10" t="s">
        <v>541</v>
      </c>
      <c r="D20" s="11">
        <v>1</v>
      </c>
      <c r="E20" s="8" t="s">
        <v>585</v>
      </c>
    </row>
    <row r="21" spans="1:5">
      <c r="A21" s="10" t="s">
        <v>68</v>
      </c>
      <c r="B21" s="11">
        <v>1</v>
      </c>
      <c r="C21" s="10" t="s">
        <v>540</v>
      </c>
      <c r="D21" s="11">
        <v>2</v>
      </c>
      <c r="E21" s="10" t="s">
        <v>485</v>
      </c>
    </row>
    <row r="22" spans="1:5">
      <c r="A22" s="10" t="s">
        <v>68</v>
      </c>
      <c r="B22" s="11">
        <v>2</v>
      </c>
      <c r="C22" s="10" t="s">
        <v>539</v>
      </c>
      <c r="D22" s="11">
        <v>2</v>
      </c>
      <c r="E22" s="10" t="s">
        <v>485</v>
      </c>
    </row>
    <row r="23" spans="1:5">
      <c r="A23" s="10" t="s">
        <v>75</v>
      </c>
      <c r="B23" s="11">
        <v>1</v>
      </c>
      <c r="C23" s="10" t="s">
        <v>538</v>
      </c>
      <c r="D23" s="10">
        <v>1</v>
      </c>
      <c r="E23" s="10" t="s">
        <v>597</v>
      </c>
    </row>
    <row r="24" spans="1:5">
      <c r="A24" s="10" t="s">
        <v>75</v>
      </c>
      <c r="B24" s="11">
        <v>2</v>
      </c>
      <c r="C24" s="10" t="s">
        <v>537</v>
      </c>
      <c r="D24" s="10">
        <v>1</v>
      </c>
      <c r="E24" s="10" t="s">
        <v>597</v>
      </c>
    </row>
    <row r="25" spans="1:5">
      <c r="A25" s="10" t="s">
        <v>75</v>
      </c>
      <c r="B25" s="11">
        <v>3</v>
      </c>
      <c r="C25" s="10" t="s">
        <v>536</v>
      </c>
      <c r="D25" s="10">
        <v>1</v>
      </c>
      <c r="E25" s="10" t="s">
        <v>597</v>
      </c>
    </row>
    <row r="26" spans="1:5">
      <c r="A26" s="10" t="s">
        <v>75</v>
      </c>
      <c r="B26" s="11">
        <v>4</v>
      </c>
      <c r="C26" s="10" t="s">
        <v>535</v>
      </c>
      <c r="D26" s="10">
        <v>1</v>
      </c>
      <c r="E26" s="10" t="s">
        <v>597</v>
      </c>
    </row>
    <row r="27" spans="1:5">
      <c r="A27" s="10" t="s">
        <v>78</v>
      </c>
      <c r="B27" s="11">
        <v>1</v>
      </c>
      <c r="C27" s="10" t="s">
        <v>534</v>
      </c>
      <c r="D27" s="11">
        <v>1</v>
      </c>
      <c r="E27" s="10" t="s">
        <v>502</v>
      </c>
    </row>
    <row r="28" spans="1:5">
      <c r="A28" s="10" t="s">
        <v>78</v>
      </c>
      <c r="B28" s="11">
        <v>2</v>
      </c>
      <c r="C28" s="10" t="s">
        <v>533</v>
      </c>
      <c r="D28" s="11">
        <v>1</v>
      </c>
      <c r="E28" s="10" t="s">
        <v>502</v>
      </c>
    </row>
    <row r="29" spans="1:5">
      <c r="A29" s="10" t="s">
        <v>78</v>
      </c>
      <c r="B29" s="11">
        <v>3</v>
      </c>
      <c r="C29" s="10" t="s">
        <v>532</v>
      </c>
      <c r="D29" s="11">
        <v>1</v>
      </c>
      <c r="E29" s="10" t="s">
        <v>502</v>
      </c>
    </row>
    <row r="30" spans="1:5">
      <c r="A30" s="10" t="s">
        <v>78</v>
      </c>
      <c r="B30" s="11">
        <v>4</v>
      </c>
      <c r="C30" s="10" t="s">
        <v>531</v>
      </c>
      <c r="D30" s="11">
        <v>1</v>
      </c>
      <c r="E30" s="10" t="s">
        <v>502</v>
      </c>
    </row>
    <row r="31" spans="1:5">
      <c r="A31" s="10" t="s">
        <v>85</v>
      </c>
      <c r="B31" s="11">
        <v>1</v>
      </c>
      <c r="C31" s="10" t="s">
        <v>530</v>
      </c>
      <c r="D31" s="11">
        <v>1</v>
      </c>
      <c r="E31" s="10" t="s">
        <v>502</v>
      </c>
    </row>
    <row r="32" spans="1:5">
      <c r="A32" s="10" t="s">
        <v>85</v>
      </c>
      <c r="B32" s="11">
        <v>2</v>
      </c>
      <c r="C32" s="10" t="s">
        <v>529</v>
      </c>
      <c r="D32" s="11">
        <v>1</v>
      </c>
      <c r="E32" s="10" t="s">
        <v>502</v>
      </c>
    </row>
    <row r="33" spans="1:5">
      <c r="A33" s="10" t="s">
        <v>190</v>
      </c>
      <c r="B33" s="11">
        <v>1</v>
      </c>
      <c r="C33" s="10" t="s">
        <v>528</v>
      </c>
      <c r="D33" s="11">
        <v>1</v>
      </c>
      <c r="E33" s="10" t="s">
        <v>502</v>
      </c>
    </row>
    <row r="34" spans="1:5">
      <c r="A34" s="10" t="s">
        <v>190</v>
      </c>
      <c r="B34" s="11">
        <v>2</v>
      </c>
      <c r="C34" s="10" t="s">
        <v>527</v>
      </c>
      <c r="D34" s="11">
        <v>1</v>
      </c>
      <c r="E34" s="10" t="s">
        <v>502</v>
      </c>
    </row>
    <row r="35" spans="1:5">
      <c r="A35" s="10" t="s">
        <v>89</v>
      </c>
      <c r="B35" s="11">
        <v>1</v>
      </c>
      <c r="C35" s="10" t="s">
        <v>526</v>
      </c>
      <c r="D35" s="11">
        <v>1</v>
      </c>
      <c r="E35" s="10" t="s">
        <v>502</v>
      </c>
    </row>
    <row r="36" spans="1:5">
      <c r="A36" s="10" t="s">
        <v>89</v>
      </c>
      <c r="B36" s="11">
        <v>2</v>
      </c>
      <c r="C36" s="10" t="s">
        <v>525</v>
      </c>
      <c r="D36" s="11">
        <v>1</v>
      </c>
      <c r="E36" s="10" t="s">
        <v>502</v>
      </c>
    </row>
    <row r="37" spans="1:5">
      <c r="A37" s="10" t="s">
        <v>89</v>
      </c>
      <c r="B37" s="11">
        <v>3</v>
      </c>
      <c r="C37" s="10" t="s">
        <v>524</v>
      </c>
      <c r="D37" s="11">
        <v>1</v>
      </c>
      <c r="E37" s="10" t="s">
        <v>502</v>
      </c>
    </row>
    <row r="38" spans="1:5">
      <c r="A38" s="10" t="s">
        <v>89</v>
      </c>
      <c r="B38" s="11">
        <v>4</v>
      </c>
      <c r="C38" s="10" t="s">
        <v>523</v>
      </c>
      <c r="D38" s="11">
        <v>1</v>
      </c>
      <c r="E38" s="10" t="s">
        <v>502</v>
      </c>
    </row>
    <row r="39" spans="1:5">
      <c r="A39" s="10" t="s">
        <v>89</v>
      </c>
      <c r="B39" s="11">
        <v>5</v>
      </c>
      <c r="C39" s="10" t="s">
        <v>522</v>
      </c>
      <c r="D39" s="11">
        <v>1</v>
      </c>
      <c r="E39" s="10" t="s">
        <v>502</v>
      </c>
    </row>
    <row r="40" spans="1:5">
      <c r="A40" s="10" t="s">
        <v>91</v>
      </c>
      <c r="B40" s="11">
        <v>1</v>
      </c>
      <c r="C40" s="10" t="s">
        <v>521</v>
      </c>
      <c r="D40" s="11">
        <v>1</v>
      </c>
      <c r="E40" s="10" t="s">
        <v>502</v>
      </c>
    </row>
    <row r="41" spans="1:5">
      <c r="A41" s="10" t="s">
        <v>91</v>
      </c>
      <c r="B41" s="11">
        <v>2</v>
      </c>
      <c r="C41" s="10" t="s">
        <v>520</v>
      </c>
      <c r="D41" s="11">
        <v>1</v>
      </c>
      <c r="E41" s="10" t="s">
        <v>502</v>
      </c>
    </row>
    <row r="42" spans="1:5">
      <c r="A42" s="10" t="s">
        <v>91</v>
      </c>
      <c r="B42" s="11">
        <v>3</v>
      </c>
      <c r="C42" s="10" t="s">
        <v>519</v>
      </c>
      <c r="D42" s="11">
        <v>1</v>
      </c>
      <c r="E42" s="10" t="s">
        <v>502</v>
      </c>
    </row>
    <row r="43" spans="1:5">
      <c r="A43" s="10" t="s">
        <v>66</v>
      </c>
      <c r="B43" s="11">
        <v>1</v>
      </c>
      <c r="C43" s="10" t="s">
        <v>206</v>
      </c>
      <c r="D43" s="11">
        <v>2</v>
      </c>
      <c r="E43" s="10" t="s">
        <v>502</v>
      </c>
    </row>
    <row r="44" spans="1:5">
      <c r="A44" s="10" t="s">
        <v>93</v>
      </c>
      <c r="B44" s="11">
        <v>1</v>
      </c>
      <c r="C44" s="10" t="s">
        <v>518</v>
      </c>
      <c r="D44" s="11">
        <v>1</v>
      </c>
      <c r="E44" s="10" t="s">
        <v>502</v>
      </c>
    </row>
    <row r="45" spans="1:5">
      <c r="A45" s="10" t="s">
        <v>101</v>
      </c>
      <c r="B45" s="11">
        <v>1</v>
      </c>
      <c r="C45" s="10" t="s">
        <v>517</v>
      </c>
      <c r="D45" s="11">
        <v>1</v>
      </c>
      <c r="E45" s="10" t="s">
        <v>516</v>
      </c>
    </row>
    <row r="46" spans="1:5">
      <c r="A46" s="10" t="s">
        <v>101</v>
      </c>
      <c r="B46" s="11">
        <v>2</v>
      </c>
      <c r="C46" s="10" t="s">
        <v>515</v>
      </c>
      <c r="D46" s="11">
        <v>1</v>
      </c>
      <c r="E46" s="10" t="s">
        <v>514</v>
      </c>
    </row>
    <row r="47" spans="1:5">
      <c r="A47" s="10" t="s">
        <v>101</v>
      </c>
      <c r="B47" s="11">
        <v>3</v>
      </c>
      <c r="C47" s="10" t="s">
        <v>513</v>
      </c>
      <c r="D47" s="11">
        <v>1</v>
      </c>
      <c r="E47" s="10" t="s">
        <v>505</v>
      </c>
    </row>
    <row r="48" spans="1:5">
      <c r="A48" s="10" t="s">
        <v>101</v>
      </c>
      <c r="B48" s="11">
        <v>4</v>
      </c>
      <c r="C48" s="10" t="s">
        <v>512</v>
      </c>
      <c r="D48" s="11">
        <v>1</v>
      </c>
      <c r="E48" s="10" t="s">
        <v>505</v>
      </c>
    </row>
    <row r="49" spans="1:5">
      <c r="A49" s="10" t="s">
        <v>101</v>
      </c>
      <c r="B49" s="11">
        <v>5</v>
      </c>
      <c r="C49" s="10" t="s">
        <v>511</v>
      </c>
      <c r="D49" s="11">
        <v>1</v>
      </c>
      <c r="E49" s="10" t="s">
        <v>505</v>
      </c>
    </row>
    <row r="50" spans="1:5">
      <c r="A50" s="10" t="s">
        <v>105</v>
      </c>
      <c r="B50" s="11">
        <v>1</v>
      </c>
      <c r="C50" s="10" t="s">
        <v>510</v>
      </c>
      <c r="D50" s="11">
        <v>1</v>
      </c>
      <c r="E50" s="10" t="s">
        <v>505</v>
      </c>
    </row>
    <row r="51" spans="1:5">
      <c r="A51" s="10" t="s">
        <v>105</v>
      </c>
      <c r="B51" s="11">
        <v>2</v>
      </c>
      <c r="C51" s="10" t="s">
        <v>509</v>
      </c>
      <c r="D51" s="11">
        <v>1</v>
      </c>
      <c r="E51" s="10" t="s">
        <v>505</v>
      </c>
    </row>
    <row r="52" spans="1:5">
      <c r="A52" s="10" t="s">
        <v>105</v>
      </c>
      <c r="B52" s="11">
        <v>3</v>
      </c>
      <c r="C52" s="10" t="s">
        <v>508</v>
      </c>
      <c r="D52" s="11">
        <v>1</v>
      </c>
      <c r="E52" s="10" t="s">
        <v>505</v>
      </c>
    </row>
    <row r="53" spans="1:5">
      <c r="A53" s="10" t="s">
        <v>105</v>
      </c>
      <c r="B53" s="11">
        <v>4</v>
      </c>
      <c r="C53" s="10" t="s">
        <v>507</v>
      </c>
      <c r="D53" s="11">
        <v>2</v>
      </c>
      <c r="E53" s="10" t="s">
        <v>505</v>
      </c>
    </row>
    <row r="54" spans="1:5">
      <c r="A54" s="10" t="s">
        <v>105</v>
      </c>
      <c r="B54" s="11">
        <v>5</v>
      </c>
      <c r="C54" s="10" t="s">
        <v>506</v>
      </c>
      <c r="D54" s="11">
        <v>1</v>
      </c>
      <c r="E54" s="10" t="s">
        <v>505</v>
      </c>
    </row>
    <row r="55" spans="1:5">
      <c r="A55" s="10" t="s">
        <v>108</v>
      </c>
      <c r="B55" s="11">
        <v>1</v>
      </c>
      <c r="C55" s="10" t="s">
        <v>504</v>
      </c>
      <c r="D55" s="11">
        <v>2</v>
      </c>
      <c r="E55" s="10" t="s">
        <v>485</v>
      </c>
    </row>
    <row r="56" spans="1:5">
      <c r="A56" s="10" t="s">
        <v>237</v>
      </c>
      <c r="B56" s="11">
        <v>1</v>
      </c>
      <c r="C56" s="10" t="s">
        <v>503</v>
      </c>
      <c r="D56" s="11">
        <v>2</v>
      </c>
      <c r="E56" s="10" t="s">
        <v>502</v>
      </c>
    </row>
    <row r="57" spans="1:5">
      <c r="A57" s="10" t="s">
        <v>87</v>
      </c>
      <c r="B57" s="11">
        <v>1</v>
      </c>
      <c r="C57" s="10" t="s">
        <v>501</v>
      </c>
      <c r="D57" s="11">
        <v>1</v>
      </c>
      <c r="E57" s="10" t="s">
        <v>492</v>
      </c>
    </row>
    <row r="58" spans="1:5">
      <c r="A58" s="10" t="s">
        <v>111</v>
      </c>
      <c r="B58" s="11">
        <v>1</v>
      </c>
      <c r="C58" s="10" t="s">
        <v>500</v>
      </c>
      <c r="D58" s="11">
        <v>1</v>
      </c>
      <c r="E58" s="10" t="s">
        <v>485</v>
      </c>
    </row>
    <row r="59" spans="1:5">
      <c r="A59" s="10" t="s">
        <v>111</v>
      </c>
      <c r="B59" s="11">
        <v>2</v>
      </c>
      <c r="C59" s="10" t="s">
        <v>499</v>
      </c>
      <c r="D59" s="11">
        <v>1</v>
      </c>
      <c r="E59" s="10" t="s">
        <v>485</v>
      </c>
    </row>
    <row r="60" spans="1:5">
      <c r="A60" s="10" t="s">
        <v>111</v>
      </c>
      <c r="B60" s="11">
        <v>3</v>
      </c>
      <c r="C60" s="10" t="s">
        <v>498</v>
      </c>
      <c r="D60" s="11">
        <v>1</v>
      </c>
      <c r="E60" s="10" t="s">
        <v>485</v>
      </c>
    </row>
    <row r="61" spans="1:5">
      <c r="A61" s="10" t="s">
        <v>111</v>
      </c>
      <c r="B61" s="11">
        <v>4</v>
      </c>
      <c r="C61" s="10" t="s">
        <v>497</v>
      </c>
      <c r="D61" s="11">
        <v>1</v>
      </c>
      <c r="E61" s="10" t="s">
        <v>485</v>
      </c>
    </row>
    <row r="62" spans="1:5">
      <c r="A62" s="10" t="s">
        <v>111</v>
      </c>
      <c r="B62" s="11">
        <v>5</v>
      </c>
      <c r="C62" s="10" t="s">
        <v>496</v>
      </c>
      <c r="D62" s="11">
        <v>4</v>
      </c>
      <c r="E62" s="10" t="s">
        <v>485</v>
      </c>
    </row>
    <row r="63" spans="1:5">
      <c r="A63" s="10" t="s">
        <v>111</v>
      </c>
      <c r="B63" s="11">
        <v>6</v>
      </c>
      <c r="C63" s="10" t="s">
        <v>495</v>
      </c>
      <c r="D63" s="11">
        <v>12</v>
      </c>
      <c r="E63" s="10" t="s">
        <v>485</v>
      </c>
    </row>
    <row r="64" spans="1:5">
      <c r="A64" s="10" t="s">
        <v>111</v>
      </c>
      <c r="B64" s="11">
        <v>7</v>
      </c>
      <c r="C64" s="10" t="s">
        <v>494</v>
      </c>
      <c r="D64" s="11">
        <v>1</v>
      </c>
      <c r="E64" s="10" t="s">
        <v>485</v>
      </c>
    </row>
    <row r="65" spans="1:5">
      <c r="A65" s="10" t="s">
        <v>111</v>
      </c>
      <c r="B65" s="11">
        <v>8</v>
      </c>
      <c r="C65" s="10" t="s">
        <v>493</v>
      </c>
      <c r="D65" s="11">
        <v>1</v>
      </c>
      <c r="E65" s="10" t="s">
        <v>492</v>
      </c>
    </row>
    <row r="66" spans="1:5">
      <c r="A66" s="10" t="s">
        <v>31</v>
      </c>
      <c r="B66" s="11">
        <v>1</v>
      </c>
      <c r="C66" s="10" t="s">
        <v>491</v>
      </c>
      <c r="D66" s="11">
        <v>1</v>
      </c>
      <c r="E66" s="10" t="s">
        <v>485</v>
      </c>
    </row>
    <row r="67" spans="1:5">
      <c r="A67" s="10" t="s">
        <v>31</v>
      </c>
      <c r="B67" s="11">
        <v>2</v>
      </c>
      <c r="C67" s="10" t="s">
        <v>490</v>
      </c>
      <c r="D67" s="11">
        <v>2</v>
      </c>
      <c r="E67" s="10" t="s">
        <v>485</v>
      </c>
    </row>
    <row r="68" spans="1:5">
      <c r="A68" s="10" t="s">
        <v>31</v>
      </c>
      <c r="B68" s="11">
        <v>3</v>
      </c>
      <c r="C68" s="10" t="s">
        <v>489</v>
      </c>
      <c r="D68" s="11">
        <v>1</v>
      </c>
      <c r="E68" s="10" t="s">
        <v>485</v>
      </c>
    </row>
    <row r="69" spans="1:5">
      <c r="A69" s="10" t="s">
        <v>31</v>
      </c>
      <c r="B69" s="11">
        <v>4</v>
      </c>
      <c r="C69" s="10" t="s">
        <v>488</v>
      </c>
      <c r="D69" s="11">
        <v>1</v>
      </c>
      <c r="E69" s="10" t="s">
        <v>485</v>
      </c>
    </row>
    <row r="70" spans="1:5">
      <c r="A70" s="10" t="s">
        <v>31</v>
      </c>
      <c r="B70" s="11">
        <v>5</v>
      </c>
      <c r="C70" s="10" t="s">
        <v>487</v>
      </c>
      <c r="D70" s="11">
        <v>1</v>
      </c>
      <c r="E70" s="10" t="s">
        <v>485</v>
      </c>
    </row>
    <row r="71" spans="1:5">
      <c r="A71" s="10" t="s">
        <v>31</v>
      </c>
      <c r="B71" s="11">
        <v>6</v>
      </c>
      <c r="C71" s="10" t="s">
        <v>486</v>
      </c>
      <c r="D71" s="11">
        <v>1</v>
      </c>
      <c r="E71" s="10" t="s">
        <v>485</v>
      </c>
    </row>
  </sheetData>
  <autoFilter ref="A1:E71" xr:uid="{00000000-0009-0000-0000-000001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장비대장</vt:lpstr>
      <vt:lpstr>폐기장비</vt:lpstr>
      <vt:lpstr>장비구성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2026-09-30T04:25:57Z</cp:lastPrinted>
  <dcterms:modified xsi:type="dcterms:W3CDTF">2026-10-06T05:26:31Z</dcterms:modified>
</cp:coreProperties>
</file>